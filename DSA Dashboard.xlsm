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8140035J\Desktop\DSA Dashboard\"/>
    </mc:Choice>
  </mc:AlternateContent>
  <xr:revisionPtr revIDLastSave="0" documentId="13_ncr:1_{CF0F0F1E-97C4-4DD1-9891-32BAE4C2086D}" xr6:coauthVersionLast="47" xr6:coauthVersionMax="47" xr10:uidLastSave="{00000000-0000-0000-0000-000000000000}"/>
  <bookViews>
    <workbookView xWindow="-108" yWindow="-108" windowWidth="23256" windowHeight="14856" tabRatio="870" xr2:uid="{00000000-000D-0000-FFFF-FFFF00000000}"/>
  </bookViews>
  <sheets>
    <sheet name="READ ME" sheetId="11" r:id="rId1"/>
    <sheet name="Overview" sheetId="3" r:id="rId2"/>
    <sheet name="Merge To Outlook" sheetId="5" r:id="rId3"/>
    <sheet name="Raw Data" sheetId="2" state="hidden" r:id="rId4"/>
    <sheet name="CCA" sheetId="6" state="hidden" r:id="rId5"/>
    <sheet name="VIA" sheetId="7" state="hidden" r:id="rId6"/>
    <sheet name="MOE SB Award" sheetId="8" state="hidden" r:id="rId7"/>
    <sheet name="Non SB" sheetId="9" state="hidden" r:id="rId8"/>
    <sheet name="NAPFA" sheetId="10" state="hidden" r:id="rId9"/>
  </sheets>
  <functionGroups builtInGroupCount="19"/>
  <definedNames>
    <definedName name="_xlnm._FilterDatabase" localSheetId="1" hidden="1">Overview!$A$7:$M$262</definedName>
    <definedName name="_xleta.EXACT" hidden="1" xlm="1">#NAME?</definedName>
    <definedName name="_xleta.SEARCH" hidden="1" xlm="1">#NAME?</definedName>
    <definedName name="DSA">'Raw Data'!$A:$AZ</definedName>
    <definedName name="DSA_HEADER">'Raw Data'!$1:$1</definedName>
    <definedName name="DSA_ID">'Raw Data'!$A:$A</definedName>
    <definedName name="ExternalData_1" localSheetId="3" hidden="1">'Raw Data'!$A$1:$AZ$21</definedName>
    <definedName name="ExternalData_2" localSheetId="4" hidden="1">'CCA'!$A$1:$E$41</definedName>
    <definedName name="ExternalData_3" localSheetId="5" hidden="1">VIA!$A$1:$D$21</definedName>
    <definedName name="ExternalData_4" localSheetId="6" hidden="1">'MOE SB Award'!$A$1:$C$2</definedName>
    <definedName name="ExternalData_5" localSheetId="7" hidden="1">'Non SB'!$A$1:$B$41</definedName>
    <definedName name="ExternalData_6" localSheetId="8" hidden="1">NAPFA!$A$1:$K$21</definedName>
    <definedName name="Foundation">Overview!$AH$17:$AI$20</definedName>
    <definedName name="ID">Overview!$M$4</definedName>
    <definedName name="_xlnm.Print_Area" localSheetId="1">Overview!$W$7:$AC$57</definedName>
    <definedName name="Standard">Overview!$AH$7:$AI$15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3" l="1"/>
  <c r="I6" i="3"/>
  <c r="G6" i="3"/>
  <c r="X8" i="5" a="1"/>
  <c r="X8" i="5" s="1"/>
  <c r="AJ4" i="5" s="1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A8" i="3" l="1" a="1"/>
  <c r="A8" i="3" s="1"/>
  <c r="M4" i="3" s="1"/>
  <c r="Y53" i="3" s="1" a="1"/>
  <c r="Z62" i="3" s="1"/>
  <c r="M6" i="3"/>
  <c r="L6" i="3"/>
  <c r="K6" i="3"/>
  <c r="J6" i="3"/>
  <c r="F6" i="3"/>
  <c r="E6" i="3"/>
  <c r="D6" i="3"/>
  <c r="C6" i="3"/>
  <c r="B6" i="3"/>
  <c r="A6" i="3"/>
  <c r="Y53" i="3" l="1"/>
  <c r="Z53" i="3" s="1"/>
  <c r="Z58" i="3"/>
  <c r="Z57" i="3"/>
  <c r="Z59" i="3"/>
  <c r="Z60" i="3"/>
  <c r="Z61" i="3"/>
  <c r="Z54" i="3"/>
  <c r="Z55" i="3"/>
  <c r="Z56" i="3"/>
  <c r="W17" i="3"/>
  <c r="W53" i="3" a="1"/>
  <c r="W53" i="3" s="1"/>
  <c r="AA36" i="3" a="1"/>
  <c r="AA36" i="3" s="1"/>
  <c r="W36" i="3" a="1"/>
  <c r="W36" i="3" s="1"/>
  <c r="W26" i="3"/>
  <c r="Z27" i="3"/>
  <c r="Y27" i="3"/>
  <c r="Z33" i="3"/>
  <c r="Z30" i="3"/>
  <c r="Z28" i="3"/>
  <c r="Z25" i="3"/>
  <c r="Z31" i="3"/>
  <c r="Z32" i="3"/>
  <c r="Z29" i="3"/>
  <c r="W21" i="3"/>
  <c r="W19" i="3"/>
  <c r="X17" i="3"/>
  <c r="Y14" i="3"/>
  <c r="Y11" i="3"/>
  <c r="X8" i="3"/>
  <c r="W27" i="3"/>
  <c r="Z20" i="3"/>
  <c r="Z18" i="3"/>
  <c r="W8" i="3"/>
  <c r="X14" i="3"/>
  <c r="X11" i="3"/>
  <c r="Y20" i="3"/>
  <c r="Y18" i="3"/>
  <c r="W14" i="3"/>
  <c r="W11" i="3"/>
  <c r="Z21" i="3"/>
  <c r="Y21" i="3"/>
  <c r="Z14" i="3"/>
  <c r="Z23" i="3"/>
  <c r="X20" i="3"/>
  <c r="X18" i="3"/>
  <c r="AC8" i="3"/>
  <c r="Y19" i="3"/>
  <c r="AA14" i="3"/>
  <c r="Z11" i="3"/>
  <c r="X23" i="3"/>
  <c r="W20" i="3"/>
  <c r="W18" i="3"/>
  <c r="AC11" i="3"/>
  <c r="Z17" i="3"/>
  <c r="AA11" i="3"/>
  <c r="Z8" i="3"/>
  <c r="Z19" i="3"/>
  <c r="AA17" i="3"/>
  <c r="AB14" i="3"/>
  <c r="AB8" i="3"/>
  <c r="AA26" i="3"/>
  <c r="X21" i="3"/>
  <c r="X19" i="3"/>
  <c r="Y17" i="3"/>
  <c r="AE18" i="3" l="1"/>
  <c r="AE17" i="3"/>
  <c r="AF18" i="3"/>
  <c r="AE20" i="3"/>
  <c r="AF17" i="3"/>
  <c r="AF20" i="3"/>
  <c r="AF19" i="3"/>
  <c r="AE19" i="3"/>
  <c r="AE22" i="3" l="1"/>
  <c r="X22" i="3" s="1"/>
  <c r="AF22" i="3"/>
  <c r="Z2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tc={C3EC33DF-161B-4308-B33A-808BD369FF7C}</author>
    <author>tc={9116C07C-2493-4216-A893-0C4621FD0273}</author>
    <author>tc={3C7A178E-BA64-4F1C-B084-86FD9DD87FB4}</author>
    <author>tc={6A962759-061C-4725-8C4C-A6C347085133}</author>
    <author>tc={1A6721DC-C817-472B-B54A-74C5A0BF790F}</author>
    <author>tc={E98A6AAC-17E7-400F-A7A2-E23068ADEF59}</author>
    <author>tc={84E55151-48E9-4A85-8AB5-81E33F9A13F5}</author>
    <author>tc={F43B4775-D1F3-44D5-B695-5A3B192BDCFE}</author>
  </authors>
  <commentList>
    <comment ref="A6" authorId="0" shapeId="0" xr:uid="{C3EC33DF-161B-4308-B33A-808BD369FF7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Fill in as many as needed (A to E). Leave unused cells blank. Emails will be separated by ;. At least one must be filled. </t>
      </text>
    </comment>
    <comment ref="F6" authorId="1" shapeId="0" xr:uid="{9116C07C-2493-4216-A893-0C4621FD027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Optional. Fill in if needed. Similar rules as A–E. </t>
      </text>
    </comment>
    <comment ref="K6" authorId="2" shapeId="0" xr:uid="{3C7A178E-BA64-4F1C-B084-86FD9DD87F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Required. This becomes the subject of the email. </t>
      </text>
    </comment>
    <comment ref="L6" authorId="3" shapeId="0" xr:uid="{6A962759-061C-4725-8C4C-A6C34708513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Required. This is the main content of the email, line-by-line. </t>
      </text>
    </comment>
    <comment ref="M6" authorId="4" shapeId="0" xr:uid="{1A6721DC-C817-472B-B54A-74C5A0BF790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Optional. Adds more content to the email body. New lines will be inserted between sections. </t>
      </text>
    </comment>
    <comment ref="Q6" authorId="5" shapeId="0" xr:uid="{E98A6AAC-17E7-400F-A7A2-E23068ADEF5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Optional. Insert full file paths (e.g., C:\Users\...\file.pdf). Use up to 3 files. Make sure files exist or an error will occur. </t>
      </text>
    </comment>
    <comment ref="T6" authorId="6" shapeId="0" xr:uid="{84E55151-48E9-4A85-8AB5-81E33F9A13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Required. Type either: Send → immediately sends the email. Draft → saves it as a draft in Outlook. </t>
      </text>
    </comment>
    <comment ref="U6" authorId="7" shapeId="0" xr:uid="{F43B4775-D1F3-44D5-B695-5A3B192BDCF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column shows what the macro did (e.g., Sent, Drafted, or any errors). Auto-filled by macro.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F1AC36-BA5B-43E8-BFB8-BF632A2B7E2C}" keepAlive="1" name="Query - CCA" description="Connection to the 'CCA' query in the workbook." type="5" refreshedVersion="8" background="1" saveData="1">
    <dbPr connection="Provider=Microsoft.Mashup.OleDb.1;Data Source=$Workbook$;Location=CCA;Extended Properties=&quot;&quot;" command="SELECT * FROM [CCA]"/>
  </connection>
  <connection id="2" xr16:uid="{B37F7928-DD3C-4A5F-9757-E285364636B2}" keepAlive="1" name="Query - HeaderRow" description="Connection to the 'HeaderRow' query in the workbook." type="5" refreshedVersion="0" background="1">
    <dbPr connection="Provider=Microsoft.Mashup.OleDb.1;Data Source=$Workbook$;Location=HeaderRow;Extended Properties=&quot;&quot;" command="SELECT * FROM [HeaderRow]"/>
  </connection>
  <connection id="3" xr16:uid="{D88B6C5F-E4EF-4E4C-8EA2-1931AC034EF8}" keepAlive="1" name="Query - MOE SB Award" description="Connection to the 'MOE SB Award' query in the workbook." type="5" refreshedVersion="8" background="1" saveData="1">
    <dbPr connection="Provider=Microsoft.Mashup.OleDb.1;Data Source=$Workbook$;Location=&quot;MOE SB Award&quot;;Extended Properties=&quot;&quot;" command="SELECT * FROM [MOE SB Award]"/>
  </connection>
  <connection id="4" xr16:uid="{E4516042-1DDD-4C4B-8D9C-C35E76D5D538}" keepAlive="1" name="Query - MyFilePath" description="Connection to the 'MyFilePath' query in the workbook." type="5" refreshedVersion="0" background="1">
    <dbPr connection="Provider=Microsoft.Mashup.OleDb.1;Data Source=$Workbook$;Location=MyFilePath;Extended Properties=&quot;&quot;" command="SELECT * FROM [MyFilePath]"/>
  </connection>
  <connection id="5" xr16:uid="{B3D06E30-FAEF-4AB8-A76C-C90B59103B69}" keepAlive="1" name="Query - NAPFA" description="Connection to the 'NAPFA' query in the workbook." type="5" refreshedVersion="8" background="1" saveData="1">
    <dbPr connection="Provider=Microsoft.Mashup.OleDb.1;Data Source=$Workbook$;Location=NAPFA;Extended Properties=&quot;&quot;" command="SELECT * FROM [NAPFA]"/>
  </connection>
  <connection id="6" xr16:uid="{C4C2496E-2E6A-4A57-B69D-ACB0CB8EE5A7}" keepAlive="1" name="Query - Non SB" description="Connection to the 'Non SB' query in the workbook." type="5" refreshedVersion="8" background="1" saveData="1">
    <dbPr connection="Provider=Microsoft.Mashup.OleDb.1;Data Source=$Workbook$;Location=&quot;Non SB&quot;;Extended Properties=&quot;&quot;" command="SELECT * FROM [Non SB]"/>
  </connection>
  <connection id="7" xr16:uid="{A6BB3DEF-CA1F-4E47-A9CD-BF64CC4AEBE7}" keepAlive="1" name="Query - Raw Data" description="Connection to the 'Raw Data' query in the workbook." type="5" refreshedVersion="8" background="1" saveData="1">
    <dbPr connection="Provider=Microsoft.Mashup.OleDb.1;Data Source=$Workbook$;Location=&quot;Raw Data&quot;;Extended Properties=&quot;&quot;" command="SELECT * FROM [Raw Data]"/>
  </connection>
  <connection id="8" xr16:uid="{A6E7C532-11BE-4173-BA22-D9744E2F6F4A}" keepAlive="1" name="Query - VIA" description="Connection to the 'VIA' query in the workbook." type="5" refreshedVersion="8" background="1" saveData="1">
    <dbPr connection="Provider=Microsoft.Mashup.OleDb.1;Data Source=$Workbook$;Location=VIA;Extended Properties=&quot;&quot;" command="SELECT * FROM [VI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<sst xmlns="http://schemas.openxmlformats.org/spreadsheetml/2006/main" count="1630" uniqueCount="565">
  <si>
    <t/>
  </si>
  <si>
    <t>BC/FIN/RG NO.</t>
  </si>
  <si>
    <t>NAME (BC/FIN/Passport No.)</t>
  </si>
  <si>
    <t>PRIMARY SCHOOL NAME</t>
  </si>
  <si>
    <t>TALENT APPLIED 1</t>
  </si>
  <si>
    <t>TALENT APPLIED 2</t>
  </si>
  <si>
    <t>CITIZENSHIP</t>
  </si>
  <si>
    <t>DATE OF BIRTH</t>
  </si>
  <si>
    <t>SEX</t>
  </si>
  <si>
    <t>GEP  STATUS</t>
  </si>
  <si>
    <t>ADDRESS</t>
  </si>
  <si>
    <t>POSTAL CODE</t>
  </si>
  <si>
    <t>MAIN CONTACT NAME</t>
  </si>
  <si>
    <t>MAIN CONTACT MOBILE NUMBER</t>
  </si>
  <si>
    <t>MAIN CONTACT EMAIL ADDRESS</t>
  </si>
  <si>
    <t>ALTERNATE CONTACT NAME</t>
  </si>
  <si>
    <t>ALTERNATE  CONTACT MOBILE NUMBER</t>
  </si>
  <si>
    <t>ALTERNATE CONTACT EMAIL ADDRESS</t>
  </si>
  <si>
    <t>FATHER NAME</t>
  </si>
  <si>
    <t>FATHER CONTACT</t>
  </si>
  <si>
    <t>MOTHER NAME</t>
  </si>
  <si>
    <t>MOTHER CONTACT</t>
  </si>
  <si>
    <t>FIRST LANGUAGE</t>
  </si>
  <si>
    <t>SECOND LANGUAGE</t>
  </si>
  <si>
    <t>APPROVED MOTHER TONGUE</t>
  </si>
  <si>
    <t>P6 OVERALL %</t>
  </si>
  <si>
    <t>P5 OVERALL %</t>
  </si>
  <si>
    <t>NAPFA YEAR</t>
  </si>
  <si>
    <t>LATEST HEIGHT (cm)</t>
  </si>
  <si>
    <t>LATEST WEIGHT (kg)</t>
  </si>
  <si>
    <t>SIT-UP SCORE</t>
  </si>
  <si>
    <t>STANDING BROAD JUMP SCORE</t>
  </si>
  <si>
    <t>SIT AND REACH SCORE</t>
  </si>
  <si>
    <t>PULLUP SCORE</t>
  </si>
  <si>
    <t>SHUTTLE RUN SCORE</t>
  </si>
  <si>
    <t>1.6/2.4KM RUN SCORE</t>
  </si>
  <si>
    <t>AWARD</t>
  </si>
  <si>
    <t>Badminton</t>
  </si>
  <si>
    <t>M</t>
  </si>
  <si>
    <t>2025</t>
  </si>
  <si>
    <t>P6</t>
  </si>
  <si>
    <t>Science</t>
  </si>
  <si>
    <t>P5</t>
  </si>
  <si>
    <t>2023</t>
  </si>
  <si>
    <t>F</t>
  </si>
  <si>
    <t>Y</t>
  </si>
  <si>
    <t>SYF</t>
  </si>
  <si>
    <t>Choir</t>
  </si>
  <si>
    <t>NEA</t>
  </si>
  <si>
    <t>Robotics</t>
  </si>
  <si>
    <t>P6_EL</t>
  </si>
  <si>
    <t>P6_EL_MARKS</t>
  </si>
  <si>
    <t>P6_MATHS</t>
  </si>
  <si>
    <t>P6_MATHS_MARKS</t>
  </si>
  <si>
    <t>P6_SCI</t>
  </si>
  <si>
    <t>P6_SCI_MARKS</t>
  </si>
  <si>
    <t>P6_MT</t>
  </si>
  <si>
    <t>P6_MT_MARKS</t>
  </si>
  <si>
    <t>P6_HMT</t>
  </si>
  <si>
    <t>P6_HMT_MARKS</t>
  </si>
  <si>
    <t>P6_CONDUCT</t>
  </si>
  <si>
    <t>P6_REMARKS</t>
  </si>
  <si>
    <t>P5_EL</t>
  </si>
  <si>
    <t>P5_EL_MARKS</t>
  </si>
  <si>
    <t>P5_MATHS</t>
  </si>
  <si>
    <t>P5_MATHS_MARKS</t>
  </si>
  <si>
    <t>P5_SCI</t>
  </si>
  <si>
    <t>P5_SCI_MARKS</t>
  </si>
  <si>
    <t>P5_MT</t>
  </si>
  <si>
    <t>P5_MT_MARKS</t>
  </si>
  <si>
    <t>P5_HMT</t>
  </si>
  <si>
    <t>P5_HMT_MARKS</t>
  </si>
  <si>
    <t>P5_CONDUCT</t>
  </si>
  <si>
    <t>P5_REMARKS</t>
  </si>
  <si>
    <t>Filter Name</t>
  </si>
  <si>
    <t>Filter Primary School</t>
  </si>
  <si>
    <t>Filter Talent Area</t>
  </si>
  <si>
    <t>Filter Mark Range + Advanced (Y/N)</t>
  </si>
  <si>
    <t>NRIC (ID)</t>
  </si>
  <si>
    <t>NRIC</t>
  </si>
  <si>
    <t>Name</t>
  </si>
  <si>
    <t>Primary School</t>
  </si>
  <si>
    <t>Talent 1</t>
  </si>
  <si>
    <t>Talent 2</t>
  </si>
  <si>
    <t>Standard AL</t>
  </si>
  <si>
    <t>Citizenship</t>
  </si>
  <si>
    <t>DOB</t>
  </si>
  <si>
    <t>Sex</t>
  </si>
  <si>
    <t>GEP Status</t>
  </si>
  <si>
    <t>Address</t>
  </si>
  <si>
    <t>Postal code</t>
  </si>
  <si>
    <t>Main contact</t>
  </si>
  <si>
    <t>Mobile</t>
  </si>
  <si>
    <t>Email</t>
  </si>
  <si>
    <t>First Language</t>
  </si>
  <si>
    <t>Second Language</t>
  </si>
  <si>
    <t>Approved MTL</t>
  </si>
  <si>
    <t>Subjects</t>
  </si>
  <si>
    <t>Primary 5 Remarks</t>
  </si>
  <si>
    <t>Foundation AL</t>
  </si>
  <si>
    <t>Overall</t>
  </si>
  <si>
    <t>Conduct</t>
  </si>
  <si>
    <t>Advanced to Interview or Trial</t>
  </si>
  <si>
    <t>NAPFA</t>
  </si>
  <si>
    <t>Primary 6 Remarks</t>
  </si>
  <si>
    <t>Height (cm)</t>
  </si>
  <si>
    <t>Weight (kg)</t>
  </si>
  <si>
    <t>Sit-up</t>
  </si>
  <si>
    <t>SBJ</t>
  </si>
  <si>
    <t>Sit and Reach</t>
  </si>
  <si>
    <t>Pullup</t>
  </si>
  <si>
    <t>Shuttle Run</t>
  </si>
  <si>
    <t>1.6/2.4 km run</t>
  </si>
  <si>
    <t>CCA Year</t>
  </si>
  <si>
    <t>CCA Name</t>
  </si>
  <si>
    <t>Event</t>
  </si>
  <si>
    <t>Involvement</t>
  </si>
  <si>
    <t>VIA Year</t>
  </si>
  <si>
    <t>VIA Name</t>
  </si>
  <si>
    <t>VIA Partner</t>
  </si>
  <si>
    <t>Award Year</t>
  </si>
  <si>
    <t>Award</t>
  </si>
  <si>
    <t>Non School-based Awards</t>
  </si>
  <si>
    <t>FILTER (Type in the Yellow &amp; Orange Cells)</t>
  </si>
  <si>
    <t>Student Dashboard (Make sure only ONE student is selected on the left)</t>
  </si>
  <si>
    <t>Filter Conduct</t>
  </si>
  <si>
    <t>Merge to Outlook</t>
  </si>
  <si>
    <t>Mandatory</t>
  </si>
  <si>
    <t>Leave Blank</t>
  </si>
  <si>
    <t>To</t>
  </si>
  <si>
    <t>c.c.</t>
  </si>
  <si>
    <t>Subject</t>
  </si>
  <si>
    <t>Body</t>
  </si>
  <si>
    <t>Attachment</t>
  </si>
  <si>
    <t>Type Draft / Send</t>
  </si>
  <si>
    <t>Status</t>
  </si>
  <si>
    <t>abc@schools.gov.sg</t>
  </si>
  <si>
    <t>Draft</t>
  </si>
  <si>
    <t>Send</t>
  </si>
  <si>
    <t>DSA Application</t>
  </si>
  <si>
    <t>Dear Mr ABC</t>
  </si>
  <si>
    <t>We have received your application</t>
  </si>
  <si>
    <t>CCA YEAR</t>
  </si>
  <si>
    <t>CCA NAME</t>
  </si>
  <si>
    <t>EVENT/COMPETITION</t>
  </si>
  <si>
    <t>INVOLVEMENT</t>
  </si>
  <si>
    <t>VIA YEAR</t>
  </si>
  <si>
    <t>VIA  NAME OF ACTIVITY/PROJECT</t>
  </si>
  <si>
    <t>PARTNER ORGANISATION</t>
  </si>
  <si>
    <t>AWARD YEAR</t>
  </si>
  <si>
    <t>MOE/SCHOOL BASED AWARD AND ACHIEVEMENTS</t>
  </si>
  <si>
    <t>NOMINATED BROADENED DSA INDICATOR</t>
  </si>
  <si>
    <t>PRIMARY SCHOOLS' REASON FOR RECOMMENDATION</t>
  </si>
  <si>
    <t>145</t>
  </si>
  <si>
    <t>156</t>
  </si>
  <si>
    <t>149</t>
  </si>
  <si>
    <t>159</t>
  </si>
  <si>
    <t>150</t>
  </si>
  <si>
    <t>168</t>
  </si>
  <si>
    <t>152</t>
  </si>
  <si>
    <t>154</t>
  </si>
  <si>
    <t>155</t>
  </si>
  <si>
    <t>146</t>
  </si>
  <si>
    <t>134</t>
  </si>
  <si>
    <t>161</t>
  </si>
  <si>
    <t>167</t>
  </si>
  <si>
    <t>164</t>
  </si>
  <si>
    <t>157</t>
  </si>
  <si>
    <t>165</t>
  </si>
  <si>
    <t>NON-SCHOOL BASED AWARDS/ACTIVITIES</t>
  </si>
  <si>
    <t>Primary 5 (OVR)</t>
  </si>
  <si>
    <t>Primary 6 (First Comb)</t>
  </si>
  <si>
    <t>Drafted</t>
  </si>
  <si>
    <t>T2345670X</t>
  </si>
  <si>
    <t>STUDENT 1</t>
  </si>
  <si>
    <t>Greenview Primary</t>
  </si>
  <si>
    <t>Art</t>
  </si>
  <si>
    <t>Debate</t>
  </si>
  <si>
    <t>Singapore Citizen</t>
  </si>
  <si>
    <t>538 ABC Street #09-30</t>
  </si>
  <si>
    <t>501294</t>
  </si>
  <si>
    <t>Parent 1</t>
  </si>
  <si>
    <t>95225849</t>
  </si>
  <si>
    <t>parent1@example.com</t>
  </si>
  <si>
    <t>Guardian 1</t>
  </si>
  <si>
    <t>84737596</t>
  </si>
  <si>
    <t>guardian1@example.com</t>
  </si>
  <si>
    <t>Mr STUDENT</t>
  </si>
  <si>
    <t>96383627</t>
  </si>
  <si>
    <t>Mrs STUDENT</t>
  </si>
  <si>
    <t>98646379</t>
  </si>
  <si>
    <t>English</t>
  </si>
  <si>
    <t>Chinese</t>
  </si>
  <si>
    <t>66</t>
  </si>
  <si>
    <t>Very Good</t>
  </si>
  <si>
    <t>Consistent effort.</t>
  </si>
  <si>
    <t>78</t>
  </si>
  <si>
    <t>62</t>
  </si>
  <si>
    <t>70</t>
  </si>
  <si>
    <t>87</t>
  </si>
  <si>
    <t>Finalist</t>
  </si>
  <si>
    <t>Yes</t>
  </si>
  <si>
    <t>Strong passion for sport.</t>
  </si>
  <si>
    <t>T2345671X</t>
  </si>
  <si>
    <t>STUDENT 2</t>
  </si>
  <si>
    <t>Track &amp; Field</t>
  </si>
  <si>
    <t>No</t>
  </si>
  <si>
    <t>387 ABC Street #05-54</t>
  </si>
  <si>
    <t>543062</t>
  </si>
  <si>
    <t>Parent 2</t>
  </si>
  <si>
    <t>96205498</t>
  </si>
  <si>
    <t>parent2@example.com</t>
  </si>
  <si>
    <t>Guardian 2</t>
  </si>
  <si>
    <t>89251441</t>
  </si>
  <si>
    <t>guardian2@example.com</t>
  </si>
  <si>
    <t>99486322</t>
  </si>
  <si>
    <t>98033481</t>
  </si>
  <si>
    <t>86</t>
  </si>
  <si>
    <t>Excellent</t>
  </si>
  <si>
    <t>Well behaved.</t>
  </si>
  <si>
    <t>74</t>
  </si>
  <si>
    <t>79</t>
  </si>
  <si>
    <t>77</t>
  </si>
  <si>
    <t>76</t>
  </si>
  <si>
    <t>Good</t>
  </si>
  <si>
    <t>Participant</t>
  </si>
  <si>
    <t>T2345672X</t>
  </si>
  <si>
    <t>STUDENT 3</t>
  </si>
  <si>
    <t>Sunshine Primary</t>
  </si>
  <si>
    <t>853 ABC Street #07-79</t>
  </si>
  <si>
    <t>535940</t>
  </si>
  <si>
    <t>Parent 3</t>
  </si>
  <si>
    <t>92854070</t>
  </si>
  <si>
    <t>parent3@example.com</t>
  </si>
  <si>
    <t>Guardian 3</t>
  </si>
  <si>
    <t>85011088</t>
  </si>
  <si>
    <t>guardian3@example.com</t>
  </si>
  <si>
    <t>96806685</t>
  </si>
  <si>
    <t>92630932</t>
  </si>
  <si>
    <t>90</t>
  </si>
  <si>
    <t>71</t>
  </si>
  <si>
    <t>60</t>
  </si>
  <si>
    <t>Winner</t>
  </si>
  <si>
    <t>T2345673X</t>
  </si>
  <si>
    <t>STUDENT 4</t>
  </si>
  <si>
    <t>230 ABC Street #06-60</t>
  </si>
  <si>
    <t>593891</t>
  </si>
  <si>
    <t>Parent 4</t>
  </si>
  <si>
    <t>96154815</t>
  </si>
  <si>
    <t>parent4@example.com</t>
  </si>
  <si>
    <t>Guardian 4</t>
  </si>
  <si>
    <t>81719567</t>
  </si>
  <si>
    <t>guardian4@example.com</t>
  </si>
  <si>
    <t>92116572</t>
  </si>
  <si>
    <t>94358472</t>
  </si>
  <si>
    <t>Improving steadily.</t>
  </si>
  <si>
    <t>89</t>
  </si>
  <si>
    <t>85</t>
  </si>
  <si>
    <t>82</t>
  </si>
  <si>
    <t>T2345674X</t>
  </si>
  <si>
    <t>STUDENT 5</t>
  </si>
  <si>
    <t>778 ABC Street #01-48</t>
  </si>
  <si>
    <t>587048</t>
  </si>
  <si>
    <t>Parent 5</t>
  </si>
  <si>
    <t>97376704</t>
  </si>
  <si>
    <t>parent5@example.com</t>
  </si>
  <si>
    <t>Guardian 5</t>
  </si>
  <si>
    <t>89913297</t>
  </si>
  <si>
    <t>guardian5@example.com</t>
  </si>
  <si>
    <t>91759707</t>
  </si>
  <si>
    <t>99693536</t>
  </si>
  <si>
    <t>65</t>
  </si>
  <si>
    <t>T2345675X</t>
  </si>
  <si>
    <t>STUDENT 6</t>
  </si>
  <si>
    <t>Drama</t>
  </si>
  <si>
    <t>42 ABC Street #09-28</t>
  </si>
  <si>
    <t>553759</t>
  </si>
  <si>
    <t>Parent 6</t>
  </si>
  <si>
    <t>93346540</t>
  </si>
  <si>
    <t>parent6@example.com</t>
  </si>
  <si>
    <t>Guardian 6</t>
  </si>
  <si>
    <t>81016614</t>
  </si>
  <si>
    <t>guardian6@example.com</t>
  </si>
  <si>
    <t>92235525</t>
  </si>
  <si>
    <t>94078611</t>
  </si>
  <si>
    <t>61</t>
  </si>
  <si>
    <t>T2345676X</t>
  </si>
  <si>
    <t>STUDENT 7</t>
  </si>
  <si>
    <t>74 ABC Street #03-33</t>
  </si>
  <si>
    <t>596103</t>
  </si>
  <si>
    <t>Parent 7</t>
  </si>
  <si>
    <t>93112620</t>
  </si>
  <si>
    <t>parent7@example.com</t>
  </si>
  <si>
    <t>Guardian 7</t>
  </si>
  <si>
    <t>81631324</t>
  </si>
  <si>
    <t>guardian7@example.com</t>
  </si>
  <si>
    <t>96426210</t>
  </si>
  <si>
    <t>91231591</t>
  </si>
  <si>
    <t>84</t>
  </si>
  <si>
    <t>73</t>
  </si>
  <si>
    <t>Exemplary conduct.</t>
  </si>
  <si>
    <t>T2345677X</t>
  </si>
  <si>
    <t>STUDENT 8</t>
  </si>
  <si>
    <t>388 ABC Street #08-73</t>
  </si>
  <si>
    <t>565843</t>
  </si>
  <si>
    <t>Parent 8</t>
  </si>
  <si>
    <t>93394227</t>
  </si>
  <si>
    <t>parent8@example.com</t>
  </si>
  <si>
    <t>Guardian 8</t>
  </si>
  <si>
    <t>89335631</t>
  </si>
  <si>
    <t>guardian8@example.com</t>
  </si>
  <si>
    <t>98280983</t>
  </si>
  <si>
    <t>93041419</t>
  </si>
  <si>
    <t>64</t>
  </si>
  <si>
    <t>83</t>
  </si>
  <si>
    <t>67</t>
  </si>
  <si>
    <t>T2345678X</t>
  </si>
  <si>
    <t>STUDENT 9</t>
  </si>
  <si>
    <t>496 ABC Street #07-46</t>
  </si>
  <si>
    <t>519988</t>
  </si>
  <si>
    <t>Parent 9</t>
  </si>
  <si>
    <t>98765394</t>
  </si>
  <si>
    <t>parent9@example.com</t>
  </si>
  <si>
    <t>Guardian 9</t>
  </si>
  <si>
    <t>83777139</t>
  </si>
  <si>
    <t>guardian9@example.com</t>
  </si>
  <si>
    <t>91380653</t>
  </si>
  <si>
    <t>99671477</t>
  </si>
  <si>
    <t>75</t>
  </si>
  <si>
    <t>T2345679X</t>
  </si>
  <si>
    <t>STUDENT 10</t>
  </si>
  <si>
    <t>58 ABC Street #01-32</t>
  </si>
  <si>
    <t>522573</t>
  </si>
  <si>
    <t>Parent 10</t>
  </si>
  <si>
    <t>92642314</t>
  </si>
  <si>
    <t>parent10@example.com</t>
  </si>
  <si>
    <t>Guardian 10</t>
  </si>
  <si>
    <t>81788111</t>
  </si>
  <si>
    <t>guardian10@example.com</t>
  </si>
  <si>
    <t>94854388</t>
  </si>
  <si>
    <t>98425547</t>
  </si>
  <si>
    <t>88</t>
  </si>
  <si>
    <t>80</t>
  </si>
  <si>
    <t>Consistent performer.</t>
  </si>
  <si>
    <t>T2345680X</t>
  </si>
  <si>
    <t>STUDENT 11</t>
  </si>
  <si>
    <t>Riverside Primary</t>
  </si>
  <si>
    <t>704 ABC Street #01-78</t>
  </si>
  <si>
    <t>530036</t>
  </si>
  <si>
    <t>Parent 11</t>
  </si>
  <si>
    <t>96252631</t>
  </si>
  <si>
    <t>parent11@example.com</t>
  </si>
  <si>
    <t>Guardian 11</t>
  </si>
  <si>
    <t>89428861</t>
  </si>
  <si>
    <t>guardian11@example.com</t>
  </si>
  <si>
    <t>92328597</t>
  </si>
  <si>
    <t>97907225</t>
  </si>
  <si>
    <t>72</t>
  </si>
  <si>
    <t>T2345681X</t>
  </si>
  <si>
    <t>STUDENT 12</t>
  </si>
  <si>
    <t>932 ABC Street #01-52</t>
  </si>
  <si>
    <t>560892</t>
  </si>
  <si>
    <t>Parent 12</t>
  </si>
  <si>
    <t>94406307</t>
  </si>
  <si>
    <t>parent12@example.com</t>
  </si>
  <si>
    <t>Guardian 12</t>
  </si>
  <si>
    <t>87640603</t>
  </si>
  <si>
    <t>guardian12@example.com</t>
  </si>
  <si>
    <t>92120685</t>
  </si>
  <si>
    <t>94253076</t>
  </si>
  <si>
    <t>68</t>
  </si>
  <si>
    <t>T2345682X</t>
  </si>
  <si>
    <t>STUDENT 13</t>
  </si>
  <si>
    <t>132 ABC Street #07-56</t>
  </si>
  <si>
    <t>564599</t>
  </si>
  <si>
    <t>Parent 13</t>
  </si>
  <si>
    <t>98761640</t>
  </si>
  <si>
    <t>parent13@example.com</t>
  </si>
  <si>
    <t>Guardian 13</t>
  </si>
  <si>
    <t>88142610</t>
  </si>
  <si>
    <t>guardian13@example.com</t>
  </si>
  <si>
    <t>98151067</t>
  </si>
  <si>
    <t>99527571</t>
  </si>
  <si>
    <t>T2345683X</t>
  </si>
  <si>
    <t>STUDENT 14</t>
  </si>
  <si>
    <t>130 ABC Street #04-41</t>
  </si>
  <si>
    <t>506194</t>
  </si>
  <si>
    <t>Parent 14</t>
  </si>
  <si>
    <t>92253593</t>
  </si>
  <si>
    <t>parent14@example.com</t>
  </si>
  <si>
    <t>Guardian 14</t>
  </si>
  <si>
    <t>86826111</t>
  </si>
  <si>
    <t>guardian14@example.com</t>
  </si>
  <si>
    <t>97737247</t>
  </si>
  <si>
    <t>92369119</t>
  </si>
  <si>
    <t>63</t>
  </si>
  <si>
    <t>T2345684X</t>
  </si>
  <si>
    <t>STUDENT 15</t>
  </si>
  <si>
    <t>540 ABC Street #02-47</t>
  </si>
  <si>
    <t>593058</t>
  </si>
  <si>
    <t>Parent 15</t>
  </si>
  <si>
    <t>96548155</t>
  </si>
  <si>
    <t>parent15@example.com</t>
  </si>
  <si>
    <t>Guardian 15</t>
  </si>
  <si>
    <t>84626227</t>
  </si>
  <si>
    <t>guardian15@example.com</t>
  </si>
  <si>
    <t>96315236</t>
  </si>
  <si>
    <t>98757337</t>
  </si>
  <si>
    <t>69</t>
  </si>
  <si>
    <t>T2345685X</t>
  </si>
  <si>
    <t>STUDENT 16</t>
  </si>
  <si>
    <t>16 ABC Street #03-45</t>
  </si>
  <si>
    <t>536258</t>
  </si>
  <si>
    <t>Parent 16</t>
  </si>
  <si>
    <t>97302514</t>
  </si>
  <si>
    <t>parent16@example.com</t>
  </si>
  <si>
    <t>Guardian 16</t>
  </si>
  <si>
    <t>81574554</t>
  </si>
  <si>
    <t>guardian16@example.com</t>
  </si>
  <si>
    <t>95373841</t>
  </si>
  <si>
    <t>97561814</t>
  </si>
  <si>
    <t>T2345686X</t>
  </si>
  <si>
    <t>STUDENT 17</t>
  </si>
  <si>
    <t>419 ABC Street #08-18</t>
  </si>
  <si>
    <t>550813</t>
  </si>
  <si>
    <t>Parent 17</t>
  </si>
  <si>
    <t>96221333</t>
  </si>
  <si>
    <t>parent17@example.com</t>
  </si>
  <si>
    <t>Guardian 17</t>
  </si>
  <si>
    <t>87839939</t>
  </si>
  <si>
    <t>guardian17@example.com</t>
  </si>
  <si>
    <t>98823735</t>
  </si>
  <si>
    <t>93438114</t>
  </si>
  <si>
    <t>T2345687X</t>
  </si>
  <si>
    <t>STUDENT 18</t>
  </si>
  <si>
    <t>20 ABC Street #09-62</t>
  </si>
  <si>
    <t>576615</t>
  </si>
  <si>
    <t>Parent 18</t>
  </si>
  <si>
    <t>98289509</t>
  </si>
  <si>
    <t>parent18@example.com</t>
  </si>
  <si>
    <t>Guardian 18</t>
  </si>
  <si>
    <t>88655632</t>
  </si>
  <si>
    <t>guardian18@example.com</t>
  </si>
  <si>
    <t>91765718</t>
  </si>
  <si>
    <t>93068504</t>
  </si>
  <si>
    <t>T2345688X</t>
  </si>
  <si>
    <t>STUDENT 19</t>
  </si>
  <si>
    <t>774 ABC Street #06-31</t>
  </si>
  <si>
    <t>594894</t>
  </si>
  <si>
    <t>Parent 19</t>
  </si>
  <si>
    <t>94660181</t>
  </si>
  <si>
    <t>parent19@example.com</t>
  </si>
  <si>
    <t>Guardian 19</t>
  </si>
  <si>
    <t>89150450</t>
  </si>
  <si>
    <t>guardian19@example.com</t>
  </si>
  <si>
    <t>94555129</t>
  </si>
  <si>
    <t>94782199</t>
  </si>
  <si>
    <t>T2345689X</t>
  </si>
  <si>
    <t>STUDENT 20</t>
  </si>
  <si>
    <t>899 ABC Street #01-49</t>
  </si>
  <si>
    <t>554956</t>
  </si>
  <si>
    <t>Parent 20</t>
  </si>
  <si>
    <t>97821552</t>
  </si>
  <si>
    <t>parent20@example.com</t>
  </si>
  <si>
    <t>Guardian 20</t>
  </si>
  <si>
    <t>85154031</t>
  </si>
  <si>
    <t>guardian20@example.com</t>
  </si>
  <si>
    <t>95373401</t>
  </si>
  <si>
    <t>95446222</t>
  </si>
  <si>
    <t>81</t>
  </si>
  <si>
    <t>Recycling Drive</t>
  </si>
  <si>
    <t>Beach Cleanup</t>
  </si>
  <si>
    <t>NParks</t>
  </si>
  <si>
    <t>Malay Dance (2023�2025)</t>
  </si>
  <si>
    <t>Chess Club (2022�2024)</t>
  </si>
  <si>
    <t>50</t>
  </si>
  <si>
    <t>25</t>
  </si>
  <si>
    <t>172</t>
  </si>
  <si>
    <t>30</t>
  </si>
  <si>
    <t>5</t>
  </si>
  <si>
    <t>12</t>
  </si>
  <si>
    <t>647</t>
  </si>
  <si>
    <t>Gold</t>
  </si>
  <si>
    <t>31</t>
  </si>
  <si>
    <t>23</t>
  </si>
  <si>
    <t>39</t>
  </si>
  <si>
    <t>2</t>
  </si>
  <si>
    <t>11</t>
  </si>
  <si>
    <t>757</t>
  </si>
  <si>
    <t>Bronze</t>
  </si>
  <si>
    <t>170</t>
  </si>
  <si>
    <t>53</t>
  </si>
  <si>
    <t>37</t>
  </si>
  <si>
    <t>187</t>
  </si>
  <si>
    <t>28</t>
  </si>
  <si>
    <t>10</t>
  </si>
  <si>
    <t>639</t>
  </si>
  <si>
    <t>43</t>
  </si>
  <si>
    <t>22</t>
  </si>
  <si>
    <t>4</t>
  </si>
  <si>
    <t>859</t>
  </si>
  <si>
    <t>55</t>
  </si>
  <si>
    <t>38</t>
  </si>
  <si>
    <t>29</t>
  </si>
  <si>
    <t>721</t>
  </si>
  <si>
    <t>Silver</t>
  </si>
  <si>
    <t>32</t>
  </si>
  <si>
    <t>193</t>
  </si>
  <si>
    <t>649</t>
  </si>
  <si>
    <t>169</t>
  </si>
  <si>
    <t>183</t>
  </si>
  <si>
    <t>27</t>
  </si>
  <si>
    <t>8</t>
  </si>
  <si>
    <t>653</t>
  </si>
  <si>
    <t>130</t>
  </si>
  <si>
    <t>779</t>
  </si>
  <si>
    <t>35</t>
  </si>
  <si>
    <t>7</t>
  </si>
  <si>
    <t>768</t>
  </si>
  <si>
    <t>20</t>
  </si>
  <si>
    <t>617</t>
  </si>
  <si>
    <t>45</t>
  </si>
  <si>
    <t>794</t>
  </si>
  <si>
    <t>131</t>
  </si>
  <si>
    <t>47</t>
  </si>
  <si>
    <t>21</t>
  </si>
  <si>
    <t>181</t>
  </si>
  <si>
    <t>640</t>
  </si>
  <si>
    <t>57</t>
  </si>
  <si>
    <t>188</t>
  </si>
  <si>
    <t>6</t>
  </si>
  <si>
    <t>729</t>
  </si>
  <si>
    <t>49</t>
  </si>
  <si>
    <t>0</t>
  </si>
  <si>
    <t>664</t>
  </si>
  <si>
    <t>9</t>
  </si>
  <si>
    <t>625</t>
  </si>
  <si>
    <t>173</t>
  </si>
  <si>
    <t>737</t>
  </si>
  <si>
    <t>176</t>
  </si>
  <si>
    <t>793</t>
  </si>
  <si>
    <t>33</t>
  </si>
  <si>
    <t>638</t>
  </si>
  <si>
    <t>182</t>
  </si>
  <si>
    <t>665</t>
  </si>
  <si>
    <t>59</t>
  </si>
  <si>
    <t>26</t>
  </si>
  <si>
    <t>627</t>
  </si>
  <si>
    <t>National School Games</t>
  </si>
  <si>
    <t>Internal Competition</t>
  </si>
  <si>
    <t>Shows good leadership.</t>
  </si>
  <si>
    <t>Respectful to peers.</t>
  </si>
  <si>
    <t>Participates actively in class.</t>
  </si>
  <si>
    <t>READ ME</t>
  </si>
  <si>
    <t>This is a DSA Dashboard, to help to summarise the data given by MOE HQ onto a single page.</t>
  </si>
  <si>
    <t>Step 1</t>
  </si>
  <si>
    <t>Replace the DSA-Sec School Applicants Detail file with your school's downloaded data</t>
  </si>
  <si>
    <t>Step 2</t>
  </si>
  <si>
    <t>Run the Macro below to update the folder path</t>
  </si>
  <si>
    <t>Step 3</t>
  </si>
  <si>
    <t>Go to Data and Click Refresh All</t>
  </si>
  <si>
    <t>Step 4</t>
  </si>
  <si>
    <t>Make use of the Filters (yellow cells) in the Overview Tab. Once you have filtered to one unique candidate, you can scroll right to the dashboard.</t>
  </si>
  <si>
    <t>Bonus</t>
  </si>
  <si>
    <t>Merge to Outlook page allows you to draft (or even directly send) emails through the excel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</si>
</sst>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\ yyyy"/>
    <numFmt numFmtId="165" formatCode="0;\-0;;@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0" xfId="0" applyFill="1"/>
    <xf numFmtId="0" fontId="5" fillId="0" borderId="0" xfId="0" applyFont="1"/>
    <xf numFmtId="0" fontId="2" fillId="0" borderId="0" xfId="0" applyFont="1"/>
    <xf numFmtId="0" fontId="2" fillId="5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/>
    <xf numFmtId="0" fontId="5" fillId="0" borderId="1" xfId="0" applyFon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/>
    <xf numFmtId="0" fontId="2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left"/>
    </xf>
    <xf numFmtId="165" fontId="0" fillId="0" borderId="1" xfId="0" applyNumberFormat="1" applyBorder="1" applyAlignment="1">
      <alignment horizontal="center"/>
    </xf>
    <xf numFmtId="165" fontId="2" fillId="2" borderId="1" xfId="0" applyNumberFormat="1" applyFont="1" applyFill="1" applyBorder="1" applyAlignment="1">
      <alignment horizontal="left"/>
    </xf>
    <xf numFmtId="165" fontId="2" fillId="2" borderId="1" xfId="0" applyNumberFormat="1" applyFont="1" applyFill="1" applyBorder="1" applyAlignment="1">
      <alignment horizontal="center"/>
    </xf>
    <xf numFmtId="165" fontId="0" fillId="0" borderId="1" xfId="0" applyNumberFormat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 vertical="top" wrapText="1"/>
    </xf>
    <xf numFmtId="165" fontId="2" fillId="0" borderId="1" xfId="0" applyNumberFormat="1" applyFont="1" applyBorder="1" applyAlignment="1">
      <alignment vertical="top" wrapText="1"/>
    </xf>
    <xf numFmtId="165" fontId="0" fillId="0" borderId="0" xfId="0" applyNumberFormat="1" applyAlignment="1">
      <alignment horizontal="left" vertical="top" wrapText="1"/>
    </xf>
    <xf numFmtId="165" fontId="0" fillId="0" borderId="0" xfId="0" applyNumberFormat="1" applyAlignment="1">
      <alignment vertical="top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left" vertical="top" wrapText="1"/>
    </xf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165" fontId="0" fillId="0" borderId="1" xfId="0" applyNumberFormat="1" applyBorder="1" applyAlignment="1">
      <alignment horizontal="left" wrapText="1"/>
    </xf>
    <xf numFmtId="2" fontId="0" fillId="0" borderId="1" xfId="0" applyNumberFormat="1" applyBorder="1" applyAlignment="1">
      <alignment horizontal="center"/>
    </xf>
    <xf numFmtId="14" fontId="0" fillId="0" borderId="0" xfId="0" applyNumberFormat="1"/>
    <xf numFmtId="0" fontId="0" fillId="10" borderId="0" xfId="0" applyFill="1"/>
    <xf numFmtId="0" fontId="2" fillId="10" borderId="0" xfId="0" applyFont="1" applyFill="1"/>
    <xf numFmtId="0" fontId="8" fillId="0" borderId="0" xfId="0" applyFont="1" applyAlignment="1">
      <alignment wrapText="1"/>
    </xf>
    <xf numFmtId="0" fontId="4" fillId="2" borderId="0" xfId="0" applyFont="1" applyFill="1"/>
    <xf numFmtId="0" fontId="2" fillId="11" borderId="6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12" fillId="2" borderId="0" xfId="1" applyFont="1" applyFill="1"/>
    <xf numFmtId="0" fontId="12" fillId="0" borderId="0" xfId="1" applyFont="1"/>
    <xf numFmtId="0" fontId="1" fillId="0" borderId="0" xfId="0" applyFont="1"/>
    <xf numFmtId="0" fontId="1" fillId="10" borderId="0" xfId="0" applyFont="1" applyFill="1"/>
    <xf numFmtId="0" fontId="0" fillId="2" borderId="0" xfId="0" applyFill="1"/>
    <xf numFmtId="0" fontId="7" fillId="10" borderId="0" xfId="0" applyFont="1" applyFill="1"/>
    <xf numFmtId="0" fontId="13" fillId="2" borderId="0" xfId="1" applyFont="1" applyFill="1"/>
    <xf numFmtId="0" fontId="9" fillId="7" borderId="6" xfId="0" applyFont="1" applyFill="1" applyBorder="1" applyAlignment="1">
      <alignment horizontal="center" wrapText="1"/>
    </xf>
    <xf numFmtId="0" fontId="9" fillId="7" borderId="7" xfId="0" applyFont="1" applyFill="1" applyBorder="1" applyAlignment="1">
      <alignment horizontal="center" wrapText="1"/>
    </xf>
    <xf numFmtId="0" fontId="9" fillId="7" borderId="8" xfId="0" applyFont="1" applyFill="1" applyBorder="1" applyAlignment="1">
      <alignment horizontal="center" wrapText="1"/>
    </xf>
    <xf numFmtId="0" fontId="9" fillId="7" borderId="6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left" vertical="top" wrapText="1"/>
    </xf>
    <xf numFmtId="0" fontId="2" fillId="5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165" fontId="6" fillId="0" borderId="2" xfId="0" applyNumberFormat="1" applyFont="1" applyBorder="1" applyAlignment="1">
      <alignment horizontal="left" wrapText="1"/>
    </xf>
    <xf numFmtId="165" fontId="6" fillId="0" borderId="4" xfId="0" applyNumberFormat="1" applyFont="1" applyBorder="1" applyAlignment="1">
      <alignment horizontal="left" wrapText="1"/>
    </xf>
    <xf numFmtId="165" fontId="6" fillId="0" borderId="3" xfId="0" applyNumberFormat="1" applyFont="1" applyBorder="1" applyAlignment="1">
      <alignment horizontal="left" wrapText="1"/>
    </xf>
    <xf numFmtId="0" fontId="2" fillId="2" borderId="1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6" fillId="0" borderId="1" xfId="0" applyNumberFormat="1" applyFont="1" applyBorder="1" applyAlignment="1">
      <alignment horizontal="left" vertical="top" wrapText="1"/>
    </xf>
    <xf numFmtId="0" fontId="2" fillId="9" borderId="2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9" fillId="6" borderId="8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220980</xdr:colOff>
      <xdr:row>5</xdr:row>
      <xdr:rowOff>144780</xdr:rowOff>
    </xdr:from>
    <xdr:to>
      <xdr:col>5</xdr:col>
      <xdr:colOff>38348</xdr:colOff>
      <xdr:row>18</xdr:row>
      <xdr:rowOff>99262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569175-E63D-CC96-BB4B-338166449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" y="1310640"/>
          <a:ext cx="2865368" cy="23319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358140</xdr:colOff>
          <xdr:row>21</xdr:row>
          <xdr:rowOff>167640</xdr:rowOff>
        </xdr:from>
        <xdr:to>
          <xdr:col>4</xdr:col>
          <xdr:colOff>426720</xdr:colOff>
          <xdr:row>25</xdr:row>
          <xdr:rowOff>144780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Folder Path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396240</xdr:colOff>
      <xdr:row>28</xdr:row>
      <xdr:rowOff>129540</xdr:rowOff>
    </xdr:from>
    <xdr:to>
      <xdr:col>5</xdr:col>
      <xdr:colOff>160264</xdr:colOff>
      <xdr:row>38</xdr:row>
      <xdr:rowOff>122078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45F83B4-4394-8A55-4AE2-251F56D84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6240" y="5501640"/>
          <a:ext cx="2812024" cy="1821338"/>
        </a:xfrm>
        <a:prstGeom prst="rect">
          <a:avLst/>
        </a:prstGeom>
      </xdr:spPr>
    </xdr:pic>
    <xdr:clientData/>
  </xdr:twoCellAnchor>
  <xdr:twoCellAnchor editAs="oneCell">
    <xdr:from>
      <xdr:col>0</xdr:col>
      <xdr:colOff>449581</xdr:colOff>
      <xdr:row>42</xdr:row>
      <xdr:rowOff>45720</xdr:rowOff>
    </xdr:from>
    <xdr:to>
      <xdr:col>11</xdr:col>
      <xdr:colOff>553678</xdr:colOff>
      <xdr:row>62</xdr:row>
      <xdr:rowOff>152942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14D5A5-1AF7-8788-66BF-E4B14F725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581" y="7978140"/>
          <a:ext cx="6809697" cy="37648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68580</xdr:rowOff>
        </xdr:from>
        <xdr:to>
          <xdr:col>4</xdr:col>
          <xdr:colOff>403860</xdr:colOff>
          <xdr:row>3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Merge to Outlook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64771</xdr:colOff>
      <xdr:row>4</xdr:row>
      <xdr:rowOff>179070</xdr:rowOff>
    </xdr:from>
    <xdr:to>
      <xdr:col>22</xdr:col>
      <xdr:colOff>1129666</xdr:colOff>
      <xdr:row>43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FDEF76F-DE01-B413-A7FB-115AA8664523}"/>
            </a:ext>
          </a:extLst>
        </xdr:cNvPr>
        <xdr:cNvSpPr/>
      </xdr:nvSpPr>
      <xdr:spPr>
        <a:xfrm>
          <a:off x="14066521" y="1160145"/>
          <a:ext cx="2465070" cy="72123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b="1"/>
            <a:t>📨 User Guide for Mail Merge (Excel to Outlook)</a:t>
          </a:r>
        </a:p>
        <a:p>
          <a:r>
            <a:rPr lang="en-US"/>
            <a:t>This guide explains how to fill in the “Merge To Outlook” sheet to draft or send emails using the VBA macro.</a:t>
          </a:r>
        </a:p>
        <a:p>
          <a:endParaRPr lang="en-US"/>
        </a:p>
        <a:p>
          <a:r>
            <a:rPr lang="en-US" b="1"/>
            <a:t>✅ General Notes</a:t>
          </a:r>
        </a:p>
        <a:p>
          <a:r>
            <a:rPr lang="en-US"/>
            <a:t>Start filling from </a:t>
          </a:r>
          <a:r>
            <a:rPr lang="en-US" b="1"/>
            <a:t>Row 7</a:t>
          </a:r>
          <a:r>
            <a:rPr lang="en-US"/>
            <a:t> onwards.</a:t>
          </a:r>
        </a:p>
        <a:p>
          <a:endParaRPr lang="en-US"/>
        </a:p>
        <a:p>
          <a:r>
            <a:rPr lang="en-US"/>
            <a:t>Do </a:t>
          </a:r>
          <a:r>
            <a:rPr lang="en-US" b="1"/>
            <a:t>not leave any required columns empty</a:t>
          </a:r>
          <a:r>
            <a:rPr lang="en-US"/>
            <a:t>.</a:t>
          </a:r>
        </a:p>
        <a:p>
          <a:endParaRPr lang="en-US"/>
        </a:p>
        <a:p>
          <a:r>
            <a:rPr lang="en-US"/>
            <a:t>Column </a:t>
          </a:r>
          <a:r>
            <a:rPr lang="en-US" b="1"/>
            <a:t>U</a:t>
          </a:r>
          <a:r>
            <a:rPr lang="en-US"/>
            <a:t> will show the status after running the macro (e.g., Sent, Drafted, Skipped, or an Error message).</a:t>
          </a:r>
        </a:p>
        <a:p>
          <a:endParaRPr lang="en-US"/>
        </a:p>
        <a:p>
          <a:r>
            <a:rPr lang="en-US"/>
            <a:t>Run the macro using the button or manually via the Developer tab &gt; Macros &gt; MergeToOutlook.</a:t>
          </a:r>
        </a:p>
        <a:p>
          <a:br>
            <a:rPr lang="en-US"/>
          </a:br>
          <a:r>
            <a:rPr lang="en-US"/>
            <a:t>📌 </a:t>
          </a:r>
          <a:r>
            <a:rPr lang="en-US" b="1"/>
            <a:t>Column Guide</a:t>
          </a:r>
          <a:br>
            <a:rPr lang="en-US"/>
          </a:br>
          <a:r>
            <a:rPr lang="en-US"/>
            <a:t>Mouse over the column</a:t>
          </a:r>
          <a:r>
            <a:rPr lang="en-US" baseline="0"/>
            <a:t> headers to view the comments.</a:t>
          </a:r>
          <a:endParaRPr lang="en-US"/>
        </a:p>
        <a:p>
          <a:endParaRPr lang="en-US"/>
        </a:p>
        <a:p>
          <a:r>
            <a:rPr lang="en-US" b="1"/>
            <a:t>⚠️ Common Errors</a:t>
          </a:r>
        </a:p>
        <a:p>
          <a:r>
            <a:rPr lang="en-US"/>
            <a:t>Error: Column A/K/L/T cannot be empty → Make sure all required fields are filled.</a:t>
          </a:r>
        </a:p>
        <a:p>
          <a:endParaRPr lang="en-US"/>
        </a:p>
        <a:p>
          <a:r>
            <a:rPr lang="en-US"/>
            <a:t>Error: Filepath incorrect → Check attachment file paths; files must exist.</a:t>
          </a:r>
        </a:p>
        <a:p>
          <a:endParaRPr lang="en-US"/>
        </a:p>
        <a:p>
          <a:r>
            <a:rPr lang="en-US"/>
            <a:t>Error: Invalid status in column T → Only Send or Draft are accepted.</a:t>
          </a:r>
        </a:p>
        <a:p>
          <a:endParaRPr lang="en-US"/>
        </a:p>
        <a:p>
          <a:r>
            <a:rPr lang="en-US"/>
            <a:t>Skipped → Row was skipped because of missing required fields or previously processed.</a:t>
          </a:r>
        </a:p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oo TIANNUO (SCHOOLS)" id="{0F6BB290-3792-480F-9E40-3DA22378E2F6}" userId="S::koo_tiannuo@schools.gov.sg::7623ff25-c9fb-4a09-acf9-a4015635a73e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82C12859-8F08-4F9C-9F9E-D2C9537725B4}" autoFormatId="16" applyNumberFormats="0" applyBorderFormats="0" applyFontFormats="0" applyPatternFormats="0" applyAlignmentFormats="0" applyWidthHeightFormats="0">
  <queryTableRefresh nextId="1166">
    <queryTableFields count="52">
      <queryTableField id="1030" name="BC/FIN/RG NO." tableColumnId="330"/>
      <queryTableField id="1031" name="NAME (BC/FIN/Passport No.)" tableColumnId="331"/>
      <queryTableField id="1032" name="PRIMARY SCHOOL NAME" tableColumnId="332"/>
      <queryTableField id="1033" name="TALENT APPLIED 1" tableColumnId="333"/>
      <queryTableField id="1034" name="TALENT APPLIED 2" tableColumnId="334"/>
      <queryTableField id="1035" name="CITIZENSHIP" tableColumnId="335"/>
      <queryTableField id="1036" name="DATE OF BIRTH" tableColumnId="336"/>
      <queryTableField id="1037" name="SEX" tableColumnId="337"/>
      <queryTableField id="1038" name="GEP  STATUS" tableColumnId="338"/>
      <queryTableField id="1039" name="ADDRESS" tableColumnId="339"/>
      <queryTableField id="1040" name="POSTAL CODE" tableColumnId="340"/>
      <queryTableField id="1041" name="MAIN CONTACT NAME" tableColumnId="341"/>
      <queryTableField id="1042" name="MAIN CONTACT MOBILE NUMBER" tableColumnId="342"/>
      <queryTableField id="1043" name="MAIN CONTACT EMAIL ADDRESS" tableColumnId="343"/>
      <queryTableField id="1044" name="ALTERNATE CONTACT NAME" tableColumnId="344"/>
      <queryTableField id="1045" name="ALTERNATE  CONTACT MOBILE NUMBER" tableColumnId="345"/>
      <queryTableField id="1046" name="ALTERNATE CONTACT EMAIL ADDRESS" tableColumnId="346"/>
      <queryTableField id="1047" name="FATHER NAME" tableColumnId="347"/>
      <queryTableField id="1048" name="FATHER CONTACT" tableColumnId="348"/>
      <queryTableField id="1049" name="MOTHER NAME" tableColumnId="349"/>
      <queryTableField id="1050" name="MOTHER CONTACT" tableColumnId="350"/>
      <queryTableField id="1051" name="FIRST LANGUAGE" tableColumnId="351"/>
      <queryTableField id="1052" name="SECOND LANGUAGE" tableColumnId="352"/>
      <queryTableField id="1053" name="APPROVED MOTHER TONGUE" tableColumnId="353"/>
      <queryTableField id="1054" name="P6 OVERALL %" tableColumnId="354"/>
      <queryTableField id="1118" name="P6_EL" tableColumnId="406"/>
      <queryTableField id="1119" name="P6_EL_MARKS" tableColumnId="407"/>
      <queryTableField id="1120" name="P6_MATHS" tableColumnId="408"/>
      <queryTableField id="1121" name="P6_MATHS_MARKS" tableColumnId="409"/>
      <queryTableField id="1122" name="P6_SCI" tableColumnId="410"/>
      <queryTableField id="1123" name="P6_SCI_MARKS" tableColumnId="411"/>
      <queryTableField id="1124" name="P6_MT" tableColumnId="412"/>
      <queryTableField id="1125" name="P6_MT_MARKS" tableColumnId="413"/>
      <queryTableField id="1126" name="P6_HMT" tableColumnId="414"/>
      <queryTableField id="1127" name="P6_HMT_MARKS" tableColumnId="415"/>
      <queryTableField id="1128" name="P6_CONDUCT" tableColumnId="416"/>
      <queryTableField id="1129" name="P6_REMARKS" tableColumnId="417"/>
      <queryTableField id="1067" name="P5 OVERALL %" tableColumnId="367"/>
      <queryTableField id="1130" name="P5_EL" tableColumnId="418"/>
      <queryTableField id="1131" name="P5_EL_MARKS" tableColumnId="419"/>
      <queryTableField id="1132" name="P5_MATHS" tableColumnId="420"/>
      <queryTableField id="1133" name="P5_MATHS_MARKS" tableColumnId="421"/>
      <queryTableField id="1134" name="P5_SCI" tableColumnId="422"/>
      <queryTableField id="1135" name="P5_SCI_MARKS" tableColumnId="423"/>
      <queryTableField id="1136" name="P5_MT" tableColumnId="424"/>
      <queryTableField id="1137" name="P5_MT_MARKS" tableColumnId="425"/>
      <queryTableField id="1138" name="P5_HMT" tableColumnId="426"/>
      <queryTableField id="1139" name="P5_HMT_MARKS" tableColumnId="427"/>
      <queryTableField id="1140" name="P5_CONDUCT" tableColumnId="428"/>
      <queryTableField id="1141" name="P5_REMARKS" tableColumnId="429"/>
      <queryTableField id="1104" name="NOMINATED BROADENED DSA INDICATOR" tableColumnId="404"/>
      <queryTableField id="1105" name="PRIMARY SCHOOLS' REASON FOR RECOMMENDATION" tableColumnId="40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20680C8-137E-4012-8C17-F3A82606DD49}" autoFormatId="16" applyNumberFormats="0" applyBorderFormats="0" applyFontFormats="0" applyPatternFormats="0" applyAlignmentFormats="0" applyWidthHeightFormats="0">
  <queryTableRefresh nextId="6">
    <queryTableFields count="5">
      <queryTableField id="1" name="BC/FIN/RG NO." tableColumnId="1"/>
      <queryTableField id="2" name="CCA YEAR" tableColumnId="2"/>
      <queryTableField id="3" name="CCA NAME" tableColumnId="3"/>
      <queryTableField id="4" name="EVENT/COMPETITION" tableColumnId="4"/>
      <queryTableField id="5" name="INVOLVEME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19EF9C76-D11F-4596-83EA-2BD9F8A843CB}" autoFormatId="16" applyNumberFormats="0" applyBorderFormats="0" applyFontFormats="0" applyPatternFormats="0" applyAlignmentFormats="0" applyWidthHeightFormats="0">
  <queryTableRefresh nextId="5">
    <queryTableFields count="4">
      <queryTableField id="1" name="BC/FIN/RG NO." tableColumnId="1"/>
      <queryTableField id="2" name="VIA YEAR" tableColumnId="2"/>
      <queryTableField id="3" name="VIA  NAME OF ACTIVITY/PROJECT" tableColumnId="3"/>
      <queryTableField id="4" name="PARTNER ORGANISATION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33B66425-68C0-41D9-BBB2-98ECF0246B8F}" autoFormatId="16" applyNumberFormats="0" applyBorderFormats="0" applyFontFormats="0" applyPatternFormats="0" applyAlignmentFormats="0" applyWidthHeightFormats="0">
  <queryTableRefresh nextId="4">
    <queryTableFields count="3">
      <queryTableField id="1" name="BC/FIN/RG NO." tableColumnId="1"/>
      <queryTableField id="2" name="AWARD YEAR" tableColumnId="2"/>
      <queryTableField id="3" name="MOE/SCHOOL BASED AWARD AND ACHIEVEMENT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C75C1199-CA94-4803-A297-259794705B3D}" autoFormatId="16" applyNumberFormats="0" applyBorderFormats="0" applyFontFormats="0" applyPatternFormats="0" applyAlignmentFormats="0" applyWidthHeightFormats="0">
  <queryTableRefresh nextId="3">
    <queryTableFields count="2">
      <queryTableField id="1" name="BC/FIN/RG NO." tableColumnId="1"/>
      <queryTableField id="2" name="NON-SCHOOL BASED AWARDS/ACTIVITIES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46778D85-F441-40BE-BCA0-E205F703AE3C}" autoFormatId="16" applyNumberFormats="0" applyBorderFormats="0" applyFontFormats="0" applyPatternFormats="0" applyAlignmentFormats="0" applyWidthHeightFormats="0">
  <queryTableRefresh nextId="12">
    <queryTableFields count="11">
      <queryTableField id="1" name="BC/FIN/RG NO." tableColumnId="1"/>
      <queryTableField id="2" name="NAPFA YEAR" tableColumnId="2"/>
      <queryTableField id="3" name="LATEST HEIGHT (cm)" tableColumnId="3"/>
      <queryTableField id="4" name="LATEST WEIGHT (kg)" tableColumnId="4"/>
      <queryTableField id="5" name="SIT-UP SCORE" tableColumnId="5"/>
      <queryTableField id="6" name="STANDING BROAD JUMP SCORE" tableColumnId="6"/>
      <queryTableField id="7" name="SIT AND REACH SCORE" tableColumnId="7"/>
      <queryTableField id="8" name="PULLUP SCORE" tableColumnId="8"/>
      <queryTableField id="9" name="SHUTTLE RUN SCORE" tableColumnId="9"/>
      <queryTableField id="10" name="1.6/2.4KM RUN SCORE" tableColumnId="10"/>
      <queryTableField id="11" name="AWARD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DCB5F9-A59F-41C0-B131-ACB22FF41E95}" name="Raw_Data" displayName="Raw_Data" ref="A1:AZ21" tableType="queryTable" totalsRowShown="0">
  <autoFilter ref="A1:AZ21" xr:uid="{D0DCB5F9-A59F-41C0-B131-ACB22FF41E95}"/>
  <tableColumns count="52">
    <tableColumn id="330" xr3:uid="{6647E22C-4D7C-4BBF-BB85-01EB066D57EE}" uniqueName="330" name="BC/FIN/RG NO." queryTableFieldId="1030" dataDxfId="39"/>
    <tableColumn id="331" xr3:uid="{7DD12434-D4AB-4A76-85AB-7F1C254ECA8A}" uniqueName="331" name="NAME (BC/FIN/Passport No.)" queryTableFieldId="1031" dataDxfId="38"/>
    <tableColumn id="332" xr3:uid="{097A4CD3-D0DB-4179-81D8-73BDF09570FB}" uniqueName="332" name="PRIMARY SCHOOL NAME" queryTableFieldId="1032" dataDxfId="37"/>
    <tableColumn id="333" xr3:uid="{EF440A69-06E6-4EED-BB11-95C6947E9CA4}" uniqueName="333" name="TALENT APPLIED 1" queryTableFieldId="1033" dataDxfId="36"/>
    <tableColumn id="334" xr3:uid="{F16B7234-BA50-44E9-8236-8072B94314C2}" uniqueName="334" name="TALENT APPLIED 2" queryTableFieldId="1034" dataDxfId="35"/>
    <tableColumn id="335" xr3:uid="{64390785-2EBB-48FA-8E93-8BC4ED520878}" uniqueName="335" name="CITIZENSHIP" queryTableFieldId="1035" dataDxfId="34"/>
    <tableColumn id="336" xr3:uid="{956FB69F-D942-43D5-906D-5CBA88F9AC31}" uniqueName="336" name="DATE OF BIRTH" queryTableFieldId="1036" dataDxfId="33"/>
    <tableColumn id="337" xr3:uid="{64672DD1-00B0-4B20-AA7B-5BA16B0BDB92}" uniqueName="337" name="SEX" queryTableFieldId="1037" dataDxfId="32"/>
    <tableColumn id="338" xr3:uid="{E59F7ACE-9479-450A-80FA-2F3568B065CA}" uniqueName="338" name="GEP  STATUS" queryTableFieldId="1038" dataDxfId="31"/>
    <tableColumn id="339" xr3:uid="{A3F63E0D-70EC-4BF4-BC3C-44C211CAA704}" uniqueName="339" name="ADDRESS" queryTableFieldId="1039" dataDxfId="30"/>
    <tableColumn id="340" xr3:uid="{FC4970F5-8613-411C-AC74-82174EA5E36A}" uniqueName="340" name="POSTAL CODE" queryTableFieldId="1040" dataDxfId="29"/>
    <tableColumn id="341" xr3:uid="{1EC154BD-6D28-4C33-80BA-EA8B14A30D84}" uniqueName="341" name="MAIN CONTACT NAME" queryTableFieldId="1041" dataDxfId="28"/>
    <tableColumn id="342" xr3:uid="{389F74CF-01DD-4D8B-8256-A3FB2E774031}" uniqueName="342" name="MAIN CONTACT MOBILE NUMBER" queryTableFieldId="1042" dataDxfId="27"/>
    <tableColumn id="343" xr3:uid="{9FF2B4EF-4D03-40E3-BBF8-481694FBC236}" uniqueName="343" name="MAIN CONTACT EMAIL ADDRESS" queryTableFieldId="1043" dataDxfId="26"/>
    <tableColumn id="344" xr3:uid="{97A5ACDD-E1FD-42EF-BC8F-3753D35B2209}" uniqueName="344" name="ALTERNATE CONTACT NAME" queryTableFieldId="1044" dataDxfId="25"/>
    <tableColumn id="345" xr3:uid="{11837FE1-317E-4EA4-A223-0F5A298F30E9}" uniqueName="345" name="ALTERNATE  CONTACT MOBILE NUMBER" queryTableFieldId="1045" dataDxfId="24"/>
    <tableColumn id="346" xr3:uid="{35D0DC27-46CE-40FD-ACCA-26DBAA94B555}" uniqueName="346" name="ALTERNATE CONTACT EMAIL ADDRESS" queryTableFieldId="1046" dataDxfId="23"/>
    <tableColumn id="347" xr3:uid="{2F95D6FA-0063-4F93-B4B0-ED59C605F4A9}" uniqueName="347" name="FATHER NAME" queryTableFieldId="1047" dataDxfId="22"/>
    <tableColumn id="348" xr3:uid="{99F99FBC-B3CC-4CD8-AA05-9BF06EC31E80}" uniqueName="348" name="FATHER CONTACT" queryTableFieldId="1048" dataDxfId="21"/>
    <tableColumn id="349" xr3:uid="{12F7977F-4062-435E-85BD-E7C1BA2A24EC}" uniqueName="349" name="MOTHER NAME" queryTableFieldId="1049" dataDxfId="20"/>
    <tableColumn id="350" xr3:uid="{3829483B-1E2F-48BE-BBC9-C75E7472E885}" uniqueName="350" name="MOTHER CONTACT" queryTableFieldId="1050" dataDxfId="19"/>
    <tableColumn id="351" xr3:uid="{04C1F7F1-22E4-49DB-90AF-7F4F86D06DB4}" uniqueName="351" name="FIRST LANGUAGE" queryTableFieldId="1051" dataDxfId="18"/>
    <tableColumn id="352" xr3:uid="{169CA9B5-0309-4085-A6F2-49FA7D522E15}" uniqueName="352" name="SECOND LANGUAGE" queryTableFieldId="1052" dataDxfId="17"/>
    <tableColumn id="353" xr3:uid="{139CC096-A4B4-46C5-9C23-8413F37423BA}" uniqueName="353" name="APPROVED MOTHER TONGUE" queryTableFieldId="1053" dataDxfId="16"/>
    <tableColumn id="354" xr3:uid="{5EA3E19D-0C82-47D5-B2C1-AF0B0EEDFD91}" uniqueName="354" name="P6 OVERALL %" queryTableFieldId="1054"/>
    <tableColumn id="406" xr3:uid="{59120CCB-128C-4927-8C7C-2D1DC28C3A4A}" uniqueName="406" name="P6_EL" queryTableFieldId="1118" dataDxfId="15"/>
    <tableColumn id="407" xr3:uid="{C6A830B2-E7DF-4A96-87FA-0B2D34EB599F}" uniqueName="407" name="P6_EL_MARKS" queryTableFieldId="1119"/>
    <tableColumn id="408" xr3:uid="{7FF703B1-6406-4D4A-A27E-ADDCD96F2BEF}" uniqueName="408" name="P6_MATHS" queryTableFieldId="1120" dataDxfId="14"/>
    <tableColumn id="409" xr3:uid="{2EC570F9-D69F-40C6-B528-06D77B9F496C}" uniqueName="409" name="P6_MATHS_MARKS" queryTableFieldId="1121"/>
    <tableColumn id="410" xr3:uid="{E49317EA-23B3-48AD-B1A7-03C232545052}" uniqueName="410" name="P6_SCI" queryTableFieldId="1122" dataDxfId="13"/>
    <tableColumn id="411" xr3:uid="{529FBD00-FE6F-4AB1-879F-A922DB264307}" uniqueName="411" name="P6_SCI_MARKS" queryTableFieldId="1123"/>
    <tableColumn id="412" xr3:uid="{AF316769-1B16-4D94-8973-60ECDFF1D975}" uniqueName="412" name="P6_MT" queryTableFieldId="1124" dataDxfId="12"/>
    <tableColumn id="413" xr3:uid="{FF775D47-B9CC-4FA3-890F-5FE86AEF7179}" uniqueName="413" name="P6_MT_MARKS" queryTableFieldId="1125"/>
    <tableColumn id="414" xr3:uid="{7AD311F5-612B-4B60-97E2-9E45F0ADE92C}" uniqueName="414" name="P6_HMT" queryTableFieldId="1126" dataDxfId="11"/>
    <tableColumn id="415" xr3:uid="{D246D9C8-9B61-4E6D-AF57-6576852B8105}" uniqueName="415" name="P6_HMT_MARKS" queryTableFieldId="1127"/>
    <tableColumn id="416" xr3:uid="{B954EBD7-3893-4545-A3DC-4C534B1F7B52}" uniqueName="416" name="P6_CONDUCT" queryTableFieldId="1128" dataDxfId="10"/>
    <tableColumn id="417" xr3:uid="{68AF4531-A282-479D-A059-8592712B36F6}" uniqueName="417" name="P6_REMARKS" queryTableFieldId="1129" dataDxfId="9"/>
    <tableColumn id="367" xr3:uid="{515CB2DA-3C6A-4FB3-9BE1-7DF4AA8A949E}" uniqueName="367" name="P5 OVERALL %" queryTableFieldId="1067"/>
    <tableColumn id="418" xr3:uid="{37322A9D-F896-491A-9AD4-F48E940C3272}" uniqueName="418" name="P5_EL" queryTableFieldId="1130" dataDxfId="8"/>
    <tableColumn id="419" xr3:uid="{0B123FF5-F461-444F-A955-A093B201B656}" uniqueName="419" name="P5_EL_MARKS" queryTableFieldId="1131"/>
    <tableColumn id="420" xr3:uid="{43E3DF5F-9A4A-43E2-A310-56ABAEE49633}" uniqueName="420" name="P5_MATHS" queryTableFieldId="1132" dataDxfId="7"/>
    <tableColumn id="421" xr3:uid="{3CCBC396-CCD5-460E-8B0F-FF6AEE46D706}" uniqueName="421" name="P5_MATHS_MARKS" queryTableFieldId="1133"/>
    <tableColumn id="422" xr3:uid="{23C88C41-0162-4949-8093-70FB7091FDB4}" uniqueName="422" name="P5_SCI" queryTableFieldId="1134" dataDxfId="6"/>
    <tableColumn id="423" xr3:uid="{FAD98F2F-D574-4325-B546-4E48F1D2C30B}" uniqueName="423" name="P5_SCI_MARKS" queryTableFieldId="1135"/>
    <tableColumn id="424" xr3:uid="{A6CDEB51-C41A-4AB7-8AD2-EACFC2819616}" uniqueName="424" name="P5_MT" queryTableFieldId="1136" dataDxfId="5"/>
    <tableColumn id="425" xr3:uid="{6C51E20C-F0DD-4ED1-9EFB-F1BEBFFE66AE}" uniqueName="425" name="P5_MT_MARKS" queryTableFieldId="1137"/>
    <tableColumn id="426" xr3:uid="{A7F0C959-726F-4313-8B92-62DE6BA526C6}" uniqueName="426" name="P5_HMT" queryTableFieldId="1138" dataDxfId="4"/>
    <tableColumn id="427" xr3:uid="{FEBF0941-34C1-40B2-AFB2-B4FE37C306F8}" uniqueName="427" name="P5_HMT_MARKS" queryTableFieldId="1139"/>
    <tableColumn id="428" xr3:uid="{BAE25818-735D-4BEE-BFA4-9E6011E415C5}" uniqueName="428" name="P5_CONDUCT" queryTableFieldId="1140" dataDxfId="3"/>
    <tableColumn id="429" xr3:uid="{06B21098-0CEA-45B0-BB17-0455EEFAB54B}" uniqueName="429" name="P5_REMARKS" queryTableFieldId="1141" dataDxfId="2"/>
    <tableColumn id="404" xr3:uid="{2CF640E1-0E91-4FE1-8A2B-AFFCA28CB8B6}" uniqueName="404" name="NOMINATED BROADENED DSA INDICATOR" queryTableFieldId="1104" dataDxfId="1"/>
    <tableColumn id="405" xr3:uid="{8D0314DF-2193-4CBF-B56C-0F19E92E3BD8}" uniqueName="405" name="PRIMARY SCHOOLS' REASON FOR RECOMMENDATION" queryTableFieldId="1105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DEB4C7-1DB5-46D3-9917-59F224086859}" name="CCA" displayName="CCA" ref="A1:E41" tableType="queryTable" totalsRowShown="0">
  <autoFilter ref="A1:E41" xr:uid="{C0DEB4C7-1DB5-46D3-9917-59F224086859}"/>
  <tableColumns count="5">
    <tableColumn id="1" xr3:uid="{D8A0FC4A-D648-4B98-A979-8AB0A92D43CA}" uniqueName="1" name="BC/FIN/RG NO." queryTableFieldId="1"/>
    <tableColumn id="2" xr3:uid="{A71DA157-8076-489A-BE0D-5A1B57F2886F}" uniqueName="2" name="CCA YEAR" queryTableFieldId="2"/>
    <tableColumn id="3" xr3:uid="{28BE14B1-5FE8-4F82-8703-26630F8D46A8}" uniqueName="3" name="CCA NAME" queryTableFieldId="3"/>
    <tableColumn id="4" xr3:uid="{C3645F1C-21C6-47E5-8513-98C98427B1A6}" uniqueName="4" name="EVENT/COMPETITION" queryTableFieldId="4"/>
    <tableColumn id="5" xr3:uid="{4EEA2B62-0013-4EE3-9D29-33832572DEF6}" uniqueName="5" name="INVOLVEMENT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9E8800-F17D-4BF1-A1CE-B5E7F2C09C96}" name="VIA" displayName="VIA" ref="A1:D21" tableType="queryTable" totalsRowShown="0">
  <autoFilter ref="A1:D21" xr:uid="{9D9E8800-F17D-4BF1-A1CE-B5E7F2C09C96}"/>
  <tableColumns count="4">
    <tableColumn id="1" xr3:uid="{65D16A9B-1E3C-4B29-A83A-D19CD95A13D2}" uniqueName="1" name="BC/FIN/RG NO." queryTableFieldId="1"/>
    <tableColumn id="2" xr3:uid="{161D92ED-5408-476B-A9AA-0C30933B33F8}" uniqueName="2" name="VIA YEAR" queryTableFieldId="2"/>
    <tableColumn id="3" xr3:uid="{852D1F3A-23DD-4145-9116-560BE5A8C568}" uniqueName="3" name="VIA  NAME OF ACTIVITY/PROJECT" queryTableFieldId="3"/>
    <tableColumn id="4" xr3:uid="{5038DF09-E0C9-4702-8BDE-0206D8858BAC}" uniqueName="4" name="PARTNER ORGANISATION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2A8816-E650-4964-B500-7AD11BB40B14}" name="MOE_SB_Award" displayName="MOE_SB_Award" ref="A1:C2" tableType="queryTable" insertRow="1" totalsRowShown="0">
  <autoFilter ref="A1:C2" xr:uid="{512A8816-E650-4964-B500-7AD11BB40B14}"/>
  <tableColumns count="3">
    <tableColumn id="1" xr3:uid="{A4FB1C95-9ACD-412D-845A-F178641AE754}" uniqueName="1" name="BC/FIN/RG NO." queryTableFieldId="1"/>
    <tableColumn id="2" xr3:uid="{4921D7B1-DBB1-452B-8B9D-1D60E5F585C3}" uniqueName="2" name="AWARD YEAR" queryTableFieldId="2"/>
    <tableColumn id="3" xr3:uid="{0F46F05B-D9D8-4FD3-9BB9-B35AE5FCBED5}" uniqueName="3" name="MOE/SCHOOL BASED AWARD AND ACHIEVEMENT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1D6C9D-90D2-4151-B8EE-7EC9FEF026AE}" name="Non_SB" displayName="Non_SB" ref="A1:B41" tableType="queryTable" totalsRowShown="0">
  <autoFilter ref="A1:B41" xr:uid="{B11D6C9D-90D2-4151-B8EE-7EC9FEF026AE}"/>
  <tableColumns count="2">
    <tableColumn id="1" xr3:uid="{C83AA826-4799-48F5-B6C0-28EE5900C69D}" uniqueName="1" name="BC/FIN/RG NO." queryTableFieldId="1"/>
    <tableColumn id="2" xr3:uid="{9D96FDF9-0171-4EAD-8C61-5BF6A26D3B54}" uniqueName="2" name="NON-SCHOOL BASED AWARDS/ACTIVITIES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07CE24-4FBD-48A3-B846-3B269E827DE5}" name="NAPFA" displayName="NAPFA" ref="A1:K21" tableType="queryTable" totalsRowShown="0">
  <autoFilter ref="A1:K21" xr:uid="{4507CE24-4FBD-48A3-B846-3B269E827DE5}"/>
  <tableColumns count="11">
    <tableColumn id="1" xr3:uid="{3C772042-96D3-4D0F-88E1-28DC2E61DA2E}" uniqueName="1" name="BC/FIN/RG NO." queryTableFieldId="1"/>
    <tableColumn id="2" xr3:uid="{DBE75D48-7AF2-48C3-81D7-B585AB280491}" uniqueName="2" name="NAPFA YEAR" queryTableFieldId="2"/>
    <tableColumn id="3" xr3:uid="{C493C14B-132E-4700-BA98-100DFA81C015}" uniqueName="3" name="LATEST HEIGHT (cm)" queryTableFieldId="3"/>
    <tableColumn id="4" xr3:uid="{07036037-66E2-4E9C-9EC1-2E7A247EFB29}" uniqueName="4" name="LATEST WEIGHT (kg)" queryTableFieldId="4"/>
    <tableColumn id="5" xr3:uid="{009E8B5C-F674-4C47-AE0A-6807357A4F85}" uniqueName="5" name="SIT-UP SCORE" queryTableFieldId="5"/>
    <tableColumn id="6" xr3:uid="{1FDEDEC5-345B-4302-A052-5D14E18DED1E}" uniqueName="6" name="STANDING BROAD JUMP SCORE" queryTableFieldId="6"/>
    <tableColumn id="7" xr3:uid="{F85428B1-AF89-4887-A7AF-346267810106}" uniqueName="7" name="SIT AND REACH SCORE" queryTableFieldId="7"/>
    <tableColumn id="8" xr3:uid="{A9F1A3E8-317F-4533-96F1-83537048D04F}" uniqueName="8" name="PULLUP SCORE" queryTableFieldId="8"/>
    <tableColumn id="9" xr3:uid="{FC9FF7F6-FCA1-4090-B6A7-2B515FB7CF0F}" uniqueName="9" name="SHUTTLE RUN SCORE" queryTableFieldId="9"/>
    <tableColumn id="10" xr3:uid="{B5AE8BA5-E947-4C59-B9AF-C085660229B3}" uniqueName="10" name="1.6/2.4KM RUN SCORE" queryTableFieldId="10"/>
    <tableColumn id="11" xr3:uid="{4B30140A-D08B-42A5-97DC-959080903F5E}" uniqueName="11" name="AWARD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6" dT="2025-07-01T06:42:52.70" personId="{0F6BB290-3792-480F-9E40-3DA22378E2F6}" id="{C3EC33DF-161B-4308-B33A-808BD369FF7C}">
    <text xml:space="preserve">Fill in as many as needed (A to E). Leave unused cells blank. Emails will be separated by ;. At least one must be filled. </text>
  </threadedComment>
  <threadedComment ref="F6" dT="2025-07-01T06:43:09.15" personId="{0F6BB290-3792-480F-9E40-3DA22378E2F6}" id="{9116C07C-2493-4216-A893-0C4621FD0273}">
    <text xml:space="preserve">Optional. Fill in if needed. Similar rules as A–E. </text>
  </threadedComment>
  <threadedComment ref="K6" dT="2025-07-01T06:43:18.11" personId="{0F6BB290-3792-480F-9E40-3DA22378E2F6}" id="{3C7A178E-BA64-4F1C-B084-86FD9DD87FB4}">
    <text xml:space="preserve">Required. This becomes the subject of the email. </text>
  </threadedComment>
  <threadedComment ref="L6" dT="2025-07-01T06:43:33.00" personId="{0F6BB290-3792-480F-9E40-3DA22378E2F6}" id="{6A962759-061C-4725-8C4C-A6C347085133}">
    <text xml:space="preserve">Required. This is the main content of the email, line-by-line. </text>
  </threadedComment>
  <threadedComment ref="M6" dT="2025-07-01T06:43:43.84" personId="{0F6BB290-3792-480F-9E40-3DA22378E2F6}" id="{1A6721DC-C817-472B-B54A-74C5A0BF790F}">
    <text xml:space="preserve">Optional. Adds more content to the email body. New lines will be inserted between sections. </text>
  </threadedComment>
  <threadedComment ref="Q6" dT="2025-07-01T06:43:55.45" personId="{0F6BB290-3792-480F-9E40-3DA22378E2F6}" id="{E98A6AAC-17E7-400F-A7A2-E23068ADEF59}">
    <text xml:space="preserve">Optional. Insert full file paths (e.g., C:\Users\...\file.pdf). Use up to 3 files. Make sure files exist or an error will occur. </text>
  </threadedComment>
  <threadedComment ref="T6" dT="2025-07-01T06:44:04.73" personId="{0F6BB290-3792-480F-9E40-3DA22378E2F6}" id="{84E55151-48E9-4A85-8AB5-81E33F9A13F5}">
    <text xml:space="preserve">Required. Type either: Send → immediately sends the email. Draft → saves it as a draft in Outlook. </text>
  </threadedComment>
  <threadedComment ref="U6" dT="2025-07-01T06:44:13.68" personId="{0F6BB290-3792-480F-9E40-3DA22378E2F6}" id="{F43B4775-D1F3-44D5-B695-5A3B192BDCFE}">
    <text xml:space="preserve">This column shows what the macro did (e.g., Sent, Drafted, or any errors). Auto-filled by macro.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F7B1-A1F1-495B-BA7C-E44A7F81F6CF}">
  <sheetPr codeName="Sheet9">
    <tabColor theme="8"/>
  </sheetPr>
  <dimension ref="A1:L65"/>
  <sheetViews>
    <sheetView tabSelected="1" workbookViewId="0">
      <selection activeCell="I5" sqref="I5"/>
    </sheetView>
  </sheetViews>
  <sheetFormatPr defaultRowHeight="14.4" x14ac:dyDescent="0.3"/>
  <sheetData>
    <row r="1" spans="1:12" ht="34.200000000000003" thickBot="1" x14ac:dyDescent="0.7">
      <c r="A1" s="51" t="s">
        <v>553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3"/>
    </row>
    <row r="3" spans="1:12" x14ac:dyDescent="0.3">
      <c r="A3" t="s">
        <v>554</v>
      </c>
    </row>
    <row r="5" spans="1:12" x14ac:dyDescent="0.3">
      <c r="A5" s="6" t="s">
        <v>555</v>
      </c>
      <c r="B5" t="s">
        <v>556</v>
      </c>
    </row>
    <row r="21" spans="1:2" x14ac:dyDescent="0.3">
      <c r="A21" s="6" t="s">
        <v>557</v>
      </c>
      <c r="B21" t="s">
        <v>558</v>
      </c>
    </row>
    <row r="28" spans="1:2" x14ac:dyDescent="0.3">
      <c r="A28" s="6" t="s">
        <v>559</v>
      </c>
      <c r="B28" t="s">
        <v>560</v>
      </c>
    </row>
    <row r="41" spans="1:2" x14ac:dyDescent="0.3">
      <c r="A41" s="6" t="s">
        <v>561</v>
      </c>
      <c r="B41" t="s">
        <v>562</v>
      </c>
    </row>
    <row r="65" spans="1:2" x14ac:dyDescent="0.3">
      <c r="A65" s="6" t="s">
        <v>563</v>
      </c>
      <c r="B65" t="s">
        <v>564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etPQMyFilePathToWorkbookFolder">
                <anchor moveWithCells="1" sizeWithCells="1">
                  <from>
                    <xdr:col>0</xdr:col>
                    <xdr:colOff>358140</xdr:colOff>
                    <xdr:row>21</xdr:row>
                    <xdr:rowOff>167640</xdr:rowOff>
                  </from>
                  <to>
                    <xdr:col>4</xdr:col>
                    <xdr:colOff>426720</xdr:colOff>
                    <xdr:row>25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E740-654F-49EC-89DA-D2234690C0F3}">
  <sheetPr codeName="Sheet3">
    <tabColor theme="8"/>
    <pageSetUpPr fitToPage="1"/>
  </sheetPr>
  <dimension ref="A1:AI62"/>
  <sheetViews>
    <sheetView zoomScaleNormal="100" workbookViewId="0">
      <selection activeCell="A8" sqref="A8"/>
    </sheetView>
  </sheetViews>
  <sheetFormatPr defaultRowHeight="14.4" x14ac:dyDescent="0.3"/>
  <cols>
    <col min="2" max="2" width="37.88671875" bestFit="1" customWidth="1"/>
    <col min="3" max="3" width="29" bestFit="1" customWidth="1"/>
    <col min="4" max="5" width="16.88671875" bestFit="1" customWidth="1"/>
    <col min="6" max="6" width="13.109375" customWidth="1"/>
    <col min="7" max="7" width="20.5546875" customWidth="1"/>
    <col min="8" max="9" width="14.6640625" customWidth="1"/>
    <col min="12" max="12" width="8.88671875" customWidth="1"/>
    <col min="13" max="13" width="8.5546875" customWidth="1"/>
    <col min="14" max="15" width="9.88671875" customWidth="1"/>
    <col min="16" max="16" width="17.21875" customWidth="1"/>
    <col min="18" max="18" width="2.33203125" style="35" customWidth="1"/>
    <col min="23" max="23" width="16" customWidth="1"/>
    <col min="24" max="24" width="29.77734375" customWidth="1"/>
    <col min="25" max="25" width="27.88671875" customWidth="1"/>
    <col min="26" max="26" width="27.109375" customWidth="1"/>
    <col min="27" max="27" width="18.21875" customWidth="1"/>
    <col min="28" max="28" width="33.44140625" customWidth="1"/>
    <col min="29" max="29" width="20.33203125" customWidth="1"/>
  </cols>
  <sheetData>
    <row r="1" spans="1:35" ht="34.200000000000003" thickBot="1" x14ac:dyDescent="0.7">
      <c r="A1" s="37"/>
      <c r="B1" s="51" t="s">
        <v>123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/>
      <c r="N1" s="37"/>
      <c r="O1" s="37"/>
      <c r="P1" s="37"/>
      <c r="Q1" s="37"/>
      <c r="W1" s="54" t="s">
        <v>124</v>
      </c>
      <c r="X1" s="55"/>
      <c r="Y1" s="55"/>
      <c r="Z1" s="55"/>
      <c r="AA1" s="55"/>
      <c r="AB1" s="55"/>
      <c r="AC1" s="56"/>
    </row>
    <row r="3" spans="1:35" x14ac:dyDescent="0.3">
      <c r="B3" s="1" t="s">
        <v>74</v>
      </c>
      <c r="C3" s="1" t="s">
        <v>75</v>
      </c>
      <c r="D3" s="1" t="s">
        <v>76</v>
      </c>
      <c r="F3" s="1" t="s">
        <v>77</v>
      </c>
      <c r="H3" s="1" t="s">
        <v>125</v>
      </c>
      <c r="M3" s="1" t="s">
        <v>78</v>
      </c>
    </row>
    <row r="4" spans="1:35" x14ac:dyDescent="0.3">
      <c r="B4" s="2"/>
      <c r="C4" s="2"/>
      <c r="D4" s="61"/>
      <c r="E4" s="61"/>
      <c r="F4" s="3">
        <v>50</v>
      </c>
      <c r="G4" s="3" t="s">
        <v>45</v>
      </c>
      <c r="H4" s="3"/>
      <c r="I4" s="3"/>
      <c r="M4" s="4" t="str">
        <f>IF(COUNTA(A:A)=3,A8,"")</f>
        <v/>
      </c>
    </row>
    <row r="5" spans="1:35" x14ac:dyDescent="0.3">
      <c r="F5" s="3">
        <v>100</v>
      </c>
    </row>
    <row r="6" spans="1:35" x14ac:dyDescent="0.3">
      <c r="A6" s="5">
        <f t="shared" ref="A6:M6" si="0">MATCH(A7,DSA_HEADER,0)</f>
        <v>1</v>
      </c>
      <c r="B6" s="5">
        <f t="shared" si="0"/>
        <v>2</v>
      </c>
      <c r="C6" s="5">
        <f t="shared" si="0"/>
        <v>3</v>
      </c>
      <c r="D6" s="5">
        <f t="shared" si="0"/>
        <v>4</v>
      </c>
      <c r="E6" s="5">
        <f t="shared" si="0"/>
        <v>5</v>
      </c>
      <c r="F6" s="5">
        <f t="shared" si="0"/>
        <v>38</v>
      </c>
      <c r="G6" s="5">
        <f t="shared" si="0"/>
        <v>51</v>
      </c>
      <c r="H6" s="5">
        <f t="shared" si="0"/>
        <v>49</v>
      </c>
      <c r="I6" s="5">
        <f t="shared" si="0"/>
        <v>36</v>
      </c>
      <c r="J6" s="5">
        <f t="shared" si="0"/>
        <v>14</v>
      </c>
      <c r="K6" s="5">
        <f t="shared" si="0"/>
        <v>17</v>
      </c>
      <c r="L6" s="5">
        <f t="shared" si="0"/>
        <v>18</v>
      </c>
      <c r="M6" s="5">
        <f t="shared" si="0"/>
        <v>20</v>
      </c>
      <c r="N6" s="1"/>
      <c r="O6" s="5"/>
      <c r="P6" s="1"/>
      <c r="W6" s="5" t="s">
        <v>1</v>
      </c>
      <c r="X6" s="5" t="s">
        <v>2</v>
      </c>
      <c r="Y6" s="5"/>
      <c r="Z6" s="5" t="s">
        <v>3</v>
      </c>
      <c r="AA6" s="5"/>
      <c r="AB6" s="5" t="s">
        <v>4</v>
      </c>
      <c r="AC6" s="5" t="s">
        <v>5</v>
      </c>
    </row>
    <row r="7" spans="1:35" x14ac:dyDescent="0.3">
      <c r="A7" s="6" t="s">
        <v>1</v>
      </c>
      <c r="B7" s="6" t="s">
        <v>2</v>
      </c>
      <c r="C7" s="6" t="s">
        <v>3</v>
      </c>
      <c r="D7" s="6" t="s">
        <v>4</v>
      </c>
      <c r="E7" s="6" t="s">
        <v>5</v>
      </c>
      <c r="F7" s="6" t="s">
        <v>26</v>
      </c>
      <c r="G7" s="6" t="s">
        <v>151</v>
      </c>
      <c r="H7" s="6" t="s">
        <v>72</v>
      </c>
      <c r="I7" s="6" t="s">
        <v>60</v>
      </c>
      <c r="J7" s="6" t="s">
        <v>14</v>
      </c>
      <c r="K7" s="6" t="s">
        <v>17</v>
      </c>
      <c r="L7" s="6" t="s">
        <v>18</v>
      </c>
      <c r="M7" s="6" t="s">
        <v>20</v>
      </c>
      <c r="N7" s="6"/>
      <c r="O7" s="6"/>
      <c r="P7" s="6"/>
      <c r="Q7" s="6"/>
      <c r="R7" s="36"/>
      <c r="W7" s="7" t="s">
        <v>79</v>
      </c>
      <c r="X7" s="62" t="s">
        <v>80</v>
      </c>
      <c r="Y7" s="63"/>
      <c r="Z7" s="62" t="s">
        <v>81</v>
      </c>
      <c r="AA7" s="63"/>
      <c r="AB7" s="7" t="s">
        <v>82</v>
      </c>
      <c r="AC7" s="7" t="s">
        <v>83</v>
      </c>
      <c r="AH7" s="59" t="s">
        <v>84</v>
      </c>
      <c r="AI7" s="59"/>
    </row>
    <row r="8" spans="1:35" x14ac:dyDescent="0.3">
      <c r="A8" t="str" cm="1">
        <f t="array" ref="A8:M27">_xlfn.CHOOSECOLS(_xlfn._xlws.FILTER(DSA,
(LEN(DSA_ID)=9)*
(ISNUMBER(SEARCH(A4,INDEX(DSA,,A6))))*
(ISNUMBER(SEARCH(B4,INDEX(DSA,,B6))))*
(ISNUMBER(SEARCH(C4,INDEX(DSA,,C6))))*
((ISNUMBER(SEARCH(D4,INDEX(DSA,,D6))))+
(ISNUMBER(SEARCH(D4,INDEX(DSA,,E6)))))*
(((INDEX(DSA,,F6)&gt;=F4)*(INDEX(DSA,,F6)&lt;=F5))+
(INDEX(DSA,,G6)=G4))*
(ISNUMBER(SEARCH(H4,INDEX(DSA,,H6))))*
(ISNUMBER(SEARCH(I4,INDEX(DSA,,I6))))
),A6:M6)</f>
        <v>T2345670X</v>
      </c>
      <c r="B8" t="str">
        <v>STUDENT 1</v>
      </c>
      <c r="C8" t="str">
        <v>Greenview Primary</v>
      </c>
      <c r="D8" t="str">
        <v>Art</v>
      </c>
      <c r="E8" t="str">
        <v>Debate</v>
      </c>
      <c r="F8">
        <v>62</v>
      </c>
      <c r="G8" t="str">
        <v>Yes</v>
      </c>
      <c r="H8" t="str">
        <v>Very Good</v>
      </c>
      <c r="I8" t="str">
        <v>Very Good</v>
      </c>
      <c r="J8" t="str">
        <v>parent1@example.com</v>
      </c>
      <c r="K8" t="str">
        <v>guardian1@example.com</v>
      </c>
      <c r="L8" t="str">
        <v>Mr STUDENT</v>
      </c>
      <c r="M8" t="str">
        <v>Mrs STUDENT</v>
      </c>
      <c r="W8" s="8" t="e">
        <f>INDEX(DSA,MATCH(ID,DSA_ID,0),MATCH(W6,DSA_HEADER,0))</f>
        <v>#N/A</v>
      </c>
      <c r="X8" s="60" t="e">
        <f>INDEX(DSA,MATCH(ID,DSA_ID,0),MATCH(X6,DSA_HEADER,0))</f>
        <v>#N/A</v>
      </c>
      <c r="Y8" s="60"/>
      <c r="Z8" s="60" t="e">
        <f>INDEX(DSA,MATCH(ID,DSA_ID,0),MATCH(Z6,DSA_HEADER,0))</f>
        <v>#N/A</v>
      </c>
      <c r="AA8" s="60"/>
      <c r="AB8" s="8" t="e">
        <f>INDEX(DSA,MATCH(ID,DSA_ID,0),MATCH(AB6,DSA_HEADER,0))</f>
        <v>#N/A</v>
      </c>
      <c r="AC8" s="8" t="e">
        <f>INDEX(DSA,MATCH(ID,DSA_ID,0),MATCH(AC6,DSA_HEADER,0))</f>
        <v>#N/A</v>
      </c>
      <c r="AH8" s="9">
        <v>0</v>
      </c>
      <c r="AI8" s="9">
        <v>8</v>
      </c>
    </row>
    <row r="9" spans="1:35" x14ac:dyDescent="0.3">
      <c r="A9" t="str">
        <v>T2345671X</v>
      </c>
      <c r="B9" t="str">
        <v>STUDENT 2</v>
      </c>
      <c r="C9" t="str">
        <v>Greenview Primary</v>
      </c>
      <c r="D9" t="str">
        <v>Choir</v>
      </c>
      <c r="E9" t="str">
        <v>Track &amp; Field</v>
      </c>
      <c r="F9">
        <v>68</v>
      </c>
      <c r="G9" t="str">
        <v>Yes</v>
      </c>
      <c r="H9" t="str">
        <v>Good</v>
      </c>
      <c r="I9" t="str">
        <v>Excellent</v>
      </c>
      <c r="J9" t="str">
        <v>parent2@example.com</v>
      </c>
      <c r="K9" t="str">
        <v>guardian2@example.com</v>
      </c>
      <c r="L9" t="str">
        <v>Mr STUDENT</v>
      </c>
      <c r="M9" t="str">
        <v>Mrs STUDENT</v>
      </c>
      <c r="W9" s="10" t="s">
        <v>6</v>
      </c>
      <c r="X9" s="10" t="s">
        <v>7</v>
      </c>
      <c r="Y9" s="10" t="s">
        <v>8</v>
      </c>
      <c r="Z9" s="10" t="s">
        <v>9</v>
      </c>
      <c r="AA9" s="10" t="s">
        <v>10</v>
      </c>
      <c r="AB9" s="10"/>
      <c r="AC9" s="10" t="s">
        <v>11</v>
      </c>
      <c r="AH9" s="9">
        <v>20</v>
      </c>
      <c r="AI9" s="9">
        <v>7</v>
      </c>
    </row>
    <row r="10" spans="1:35" x14ac:dyDescent="0.3">
      <c r="A10" t="str">
        <v>T2345672X</v>
      </c>
      <c r="B10" t="str">
        <v>STUDENT 3</v>
      </c>
      <c r="C10" t="str">
        <v>Sunshine Primary</v>
      </c>
      <c r="D10" t="str">
        <v>Choir</v>
      </c>
      <c r="E10" t="str">
        <v>Debate</v>
      </c>
      <c r="F10">
        <v>64</v>
      </c>
      <c r="G10" t="str">
        <v>Yes</v>
      </c>
      <c r="H10" t="str">
        <v>Very Good</v>
      </c>
      <c r="I10" t="str">
        <v>Very Good</v>
      </c>
      <c r="J10" t="str">
        <v>parent3@example.com</v>
      </c>
      <c r="K10" t="str">
        <v>guardian3@example.com</v>
      </c>
      <c r="L10" t="str">
        <v>Mr STUDENT</v>
      </c>
      <c r="M10" t="str">
        <v>Mrs STUDENT</v>
      </c>
      <c r="W10" s="7" t="s">
        <v>85</v>
      </c>
      <c r="X10" s="7" t="s">
        <v>86</v>
      </c>
      <c r="Y10" s="7" t="s">
        <v>87</v>
      </c>
      <c r="Z10" s="7" t="s">
        <v>88</v>
      </c>
      <c r="AA10" s="62" t="s">
        <v>89</v>
      </c>
      <c r="AB10" s="63"/>
      <c r="AC10" s="7" t="s">
        <v>90</v>
      </c>
      <c r="AH10" s="9">
        <v>45</v>
      </c>
      <c r="AI10" s="9">
        <v>6</v>
      </c>
    </row>
    <row r="11" spans="1:35" x14ac:dyDescent="0.3">
      <c r="A11" t="str">
        <v>T2345673X</v>
      </c>
      <c r="B11" t="str">
        <v>STUDENT 4</v>
      </c>
      <c r="C11" t="str">
        <v>Greenview Primary</v>
      </c>
      <c r="D11" t="str">
        <v>Science</v>
      </c>
      <c r="E11" t="str">
        <v>Debate</v>
      </c>
      <c r="F11">
        <v>67</v>
      </c>
      <c r="G11" t="str">
        <v>Yes</v>
      </c>
      <c r="H11" t="str">
        <v>Good</v>
      </c>
      <c r="I11" t="str">
        <v>Excellent</v>
      </c>
      <c r="J11" t="str">
        <v>parent4@example.com</v>
      </c>
      <c r="K11" t="str">
        <v>guardian4@example.com</v>
      </c>
      <c r="L11" t="str">
        <v>Mr STUDENT</v>
      </c>
      <c r="M11" t="str">
        <v>Mrs STUDENT</v>
      </c>
      <c r="W11" s="8" t="e">
        <f>INDEX(DSA,MATCH(ID,DSA_ID,0),MATCH(W9,DSA_HEADER,0))</f>
        <v>#N/A</v>
      </c>
      <c r="X11" s="11" t="e">
        <f>INDEX(DSA,MATCH(ID,DSA_ID,0),MATCH(X9,DSA_HEADER,0))</f>
        <v>#N/A</v>
      </c>
      <c r="Y11" s="12" t="e">
        <f>INDEX(DSA,MATCH(ID,DSA_ID,0),MATCH(Y9,DSA_HEADER,0))</f>
        <v>#N/A</v>
      </c>
      <c r="Z11" s="13" t="e">
        <f>INDEX(DSA,MATCH(ID,DSA_ID,0),MATCH(Z9,DSA_HEADER,0))</f>
        <v>#N/A</v>
      </c>
      <c r="AA11" s="60" t="e">
        <f>INDEX(DSA,MATCH(ID,DSA_ID,0),MATCH(AA9,DSA_HEADER,0))</f>
        <v>#N/A</v>
      </c>
      <c r="AB11" s="60"/>
      <c r="AC11" s="8" t="e">
        <f>INDEX(DSA,MATCH(ID,DSA_ID,0),MATCH(AC9,DSA_HEADER,0))</f>
        <v>#N/A</v>
      </c>
      <c r="AH11" s="9">
        <v>65</v>
      </c>
      <c r="AI11" s="9">
        <v>5</v>
      </c>
    </row>
    <row r="12" spans="1:35" x14ac:dyDescent="0.3">
      <c r="A12" t="str">
        <v>T2345674X</v>
      </c>
      <c r="B12" t="str">
        <v>STUDENT 5</v>
      </c>
      <c r="C12" t="str">
        <v>Sunshine Primary</v>
      </c>
      <c r="D12" t="str">
        <v>Robotics</v>
      </c>
      <c r="E12" t="str">
        <v/>
      </c>
      <c r="F12">
        <v>88</v>
      </c>
      <c r="G12" t="str">
        <v>Yes</v>
      </c>
      <c r="H12" t="str">
        <v>Very Good</v>
      </c>
      <c r="I12" t="str">
        <v>Good</v>
      </c>
      <c r="J12" t="str">
        <v>parent5@example.com</v>
      </c>
      <c r="K12" t="str">
        <v>guardian5@example.com</v>
      </c>
      <c r="L12" t="str">
        <v>Mr STUDENT</v>
      </c>
      <c r="M12" t="str">
        <v>Mrs STUDENT</v>
      </c>
      <c r="W12" s="14" t="s">
        <v>12</v>
      </c>
      <c r="X12" s="14" t="s">
        <v>13</v>
      </c>
      <c r="Y12" s="14" t="s">
        <v>14</v>
      </c>
      <c r="Z12" s="14" t="s">
        <v>22</v>
      </c>
      <c r="AA12" s="14" t="s">
        <v>23</v>
      </c>
      <c r="AB12" s="14" t="s">
        <v>24</v>
      </c>
      <c r="AC12" s="14"/>
      <c r="AH12" s="9">
        <v>75</v>
      </c>
      <c r="AI12" s="9">
        <v>4</v>
      </c>
    </row>
    <row r="13" spans="1:35" x14ac:dyDescent="0.3">
      <c r="A13" t="str">
        <v>T2345675X</v>
      </c>
      <c r="B13" t="str">
        <v>STUDENT 6</v>
      </c>
      <c r="C13" t="str">
        <v>Sunshine Primary</v>
      </c>
      <c r="D13" t="str">
        <v>Science</v>
      </c>
      <c r="E13" t="str">
        <v>Drama</v>
      </c>
      <c r="F13">
        <v>74</v>
      </c>
      <c r="G13" t="str">
        <v>Yes</v>
      </c>
      <c r="H13" t="str">
        <v>Good</v>
      </c>
      <c r="I13" t="str">
        <v>Very Good</v>
      </c>
      <c r="J13" t="str">
        <v>parent6@example.com</v>
      </c>
      <c r="K13" t="str">
        <v>guardian6@example.com</v>
      </c>
      <c r="L13" t="str">
        <v>Mr STUDENT</v>
      </c>
      <c r="M13" t="str">
        <v>Mrs STUDENT</v>
      </c>
      <c r="W13" s="7" t="s">
        <v>91</v>
      </c>
      <c r="X13" s="7" t="s">
        <v>92</v>
      </c>
      <c r="Y13" s="7" t="s">
        <v>93</v>
      </c>
      <c r="Z13" s="7" t="s">
        <v>94</v>
      </c>
      <c r="AA13" s="7" t="s">
        <v>95</v>
      </c>
      <c r="AB13" s="7" t="s">
        <v>96</v>
      </c>
      <c r="AH13" s="9">
        <v>80</v>
      </c>
      <c r="AI13" s="9">
        <v>3</v>
      </c>
    </row>
    <row r="14" spans="1:35" x14ac:dyDescent="0.3">
      <c r="A14" t="str">
        <v>T2345676X</v>
      </c>
      <c r="B14" t="str">
        <v>STUDENT 7</v>
      </c>
      <c r="C14" t="str">
        <v>Greenview Primary</v>
      </c>
      <c r="D14" t="str">
        <v>Badminton</v>
      </c>
      <c r="E14" t="str">
        <v/>
      </c>
      <c r="F14">
        <v>63</v>
      </c>
      <c r="G14" t="str">
        <v>Yes</v>
      </c>
      <c r="H14" t="str">
        <v>Very Good</v>
      </c>
      <c r="I14" t="str">
        <v>Very Good</v>
      </c>
      <c r="J14" t="str">
        <v>parent7@example.com</v>
      </c>
      <c r="K14" t="str">
        <v>guardian7@example.com</v>
      </c>
      <c r="L14" t="str">
        <v>Mr STUDENT</v>
      </c>
      <c r="M14" t="str">
        <v>Mrs STUDENT</v>
      </c>
      <c r="W14" s="8" t="e">
        <f t="shared" ref="W14:AB14" si="1">INDEX(DSA,MATCH(ID,DSA_ID,0),MATCH(W12,DSA_HEADER,0))</f>
        <v>#N/A</v>
      </c>
      <c r="X14" s="8" t="e">
        <f t="shared" si="1"/>
        <v>#N/A</v>
      </c>
      <c r="Y14" s="8" t="e">
        <f t="shared" si="1"/>
        <v>#N/A</v>
      </c>
      <c r="Z14" s="8" t="e">
        <f t="shared" si="1"/>
        <v>#N/A</v>
      </c>
      <c r="AA14" s="8" t="e">
        <f t="shared" si="1"/>
        <v>#N/A</v>
      </c>
      <c r="AB14" s="8" t="e">
        <f t="shared" si="1"/>
        <v>#N/A</v>
      </c>
      <c r="AH14" s="9">
        <v>85</v>
      </c>
      <c r="AI14" s="9">
        <v>2</v>
      </c>
    </row>
    <row r="15" spans="1:35" x14ac:dyDescent="0.3">
      <c r="A15" t="str">
        <v>T2345677X</v>
      </c>
      <c r="B15" t="str">
        <v>STUDENT 8</v>
      </c>
      <c r="C15" t="str">
        <v>Greenview Primary</v>
      </c>
      <c r="D15" t="str">
        <v>Badminton</v>
      </c>
      <c r="E15" t="str">
        <v>Debate</v>
      </c>
      <c r="F15">
        <v>90</v>
      </c>
      <c r="G15" t="str">
        <v>Yes</v>
      </c>
      <c r="H15" t="str">
        <v>Excellent</v>
      </c>
      <c r="I15" t="str">
        <v>Good</v>
      </c>
      <c r="J15" t="str">
        <v>parent8@example.com</v>
      </c>
      <c r="K15" t="str">
        <v>guardian8@example.com</v>
      </c>
      <c r="L15" t="str">
        <v>Mr STUDENT</v>
      </c>
      <c r="M15" t="str">
        <v>Mrs STUDENT</v>
      </c>
      <c r="AH15" s="9">
        <v>90</v>
      </c>
      <c r="AI15" s="9">
        <v>1</v>
      </c>
    </row>
    <row r="16" spans="1:35" x14ac:dyDescent="0.3">
      <c r="A16" t="str">
        <v>T2345678X</v>
      </c>
      <c r="B16" t="str">
        <v>STUDENT 9</v>
      </c>
      <c r="C16" t="str">
        <v>Greenview Primary</v>
      </c>
      <c r="D16" t="str">
        <v>Badminton</v>
      </c>
      <c r="E16" t="str">
        <v/>
      </c>
      <c r="F16">
        <v>87</v>
      </c>
      <c r="G16" t="str">
        <v>Yes</v>
      </c>
      <c r="H16" t="str">
        <v>Good</v>
      </c>
      <c r="I16" t="str">
        <v>Excellent</v>
      </c>
      <c r="J16" t="str">
        <v>parent9@example.com</v>
      </c>
      <c r="K16" t="str">
        <v>guardian9@example.com</v>
      </c>
      <c r="L16" t="str">
        <v>Mr STUDENT</v>
      </c>
      <c r="M16" t="str">
        <v>Mrs STUDENT</v>
      </c>
      <c r="W16" s="15" t="s">
        <v>97</v>
      </c>
      <c r="X16" s="15" t="s">
        <v>170</v>
      </c>
      <c r="Y16" s="15" t="s">
        <v>97</v>
      </c>
      <c r="Z16" s="15" t="s">
        <v>171</v>
      </c>
      <c r="AA16" s="57" t="s">
        <v>98</v>
      </c>
      <c r="AB16" s="57"/>
      <c r="AC16" s="57"/>
      <c r="AE16" s="16" t="s">
        <v>42</v>
      </c>
      <c r="AF16" s="16" t="s">
        <v>40</v>
      </c>
    </row>
    <row r="17" spans="1:35" x14ac:dyDescent="0.3">
      <c r="A17" t="str">
        <v>T2345679X</v>
      </c>
      <c r="B17" t="str">
        <v>STUDENT 10</v>
      </c>
      <c r="C17" t="str">
        <v>Greenview Primary</v>
      </c>
      <c r="D17" t="str">
        <v>Choir</v>
      </c>
      <c r="E17" t="str">
        <v>Drama</v>
      </c>
      <c r="F17">
        <v>70</v>
      </c>
      <c r="G17" t="str">
        <v>Yes</v>
      </c>
      <c r="H17" t="str">
        <v>Excellent</v>
      </c>
      <c r="I17" t="str">
        <v>Very Good</v>
      </c>
      <c r="J17" t="str">
        <v>parent10@example.com</v>
      </c>
      <c r="K17" t="str">
        <v>guardian10@example.com</v>
      </c>
      <c r="L17" t="str">
        <v>Mr STUDENT</v>
      </c>
      <c r="M17" t="str">
        <v>Mrs STUDENT</v>
      </c>
      <c r="S17" s="5" t="s">
        <v>62</v>
      </c>
      <c r="T17" s="5" t="s">
        <v>63</v>
      </c>
      <c r="U17" s="5" t="s">
        <v>50</v>
      </c>
      <c r="V17" s="5" t="s">
        <v>51</v>
      </c>
      <c r="W17" s="17" t="e">
        <f t="shared" ref="W17:Z17" si="2">INDEX(DSA,MATCH(ID,DSA_ID,0),MATCH(S17,DSA_HEADER,0))</f>
        <v>#N/A</v>
      </c>
      <c r="X17" s="18" t="e">
        <f t="shared" si="2"/>
        <v>#N/A</v>
      </c>
      <c r="Y17" s="17" t="e">
        <f t="shared" si="2"/>
        <v>#N/A</v>
      </c>
      <c r="Z17" s="33" t="e">
        <f t="shared" si="2"/>
        <v>#N/A</v>
      </c>
      <c r="AA17" s="58" t="e">
        <f>INDEX(DSA,MATCH(ID,DSA_ID,0),MATCH(AD17,DSA_HEADER,0))</f>
        <v>#N/A</v>
      </c>
      <c r="AB17" s="58"/>
      <c r="AC17" s="58"/>
      <c r="AD17" s="5" t="s">
        <v>73</v>
      </c>
      <c r="AE17" s="16" t="e">
        <f>IF(ISNUMBER(SEARCH("Foundation",$W17)),VLOOKUP(X17,Foundation,2),VLOOKUP(X17,Standard,2))</f>
        <v>#N/A</v>
      </c>
      <c r="AF17" s="16" t="e">
        <f>IF(ISNUMBER(SEARCH("Foundation",$Y17)),VLOOKUP(Z17,Foundation,2),VLOOKUP(Z17,Standard,2))</f>
        <v>#N/A</v>
      </c>
      <c r="AH17" s="59" t="s">
        <v>99</v>
      </c>
      <c r="AI17" s="59"/>
    </row>
    <row r="18" spans="1:35" x14ac:dyDescent="0.3">
      <c r="A18" t="str">
        <v>T2345680X</v>
      </c>
      <c r="B18" t="str">
        <v>STUDENT 11</v>
      </c>
      <c r="C18" t="str">
        <v>Riverside Primary</v>
      </c>
      <c r="D18" t="str">
        <v>Choir</v>
      </c>
      <c r="E18" t="str">
        <v>Debate</v>
      </c>
      <c r="F18">
        <v>80</v>
      </c>
      <c r="G18" t="str">
        <v>Yes</v>
      </c>
      <c r="H18" t="str">
        <v>Excellent</v>
      </c>
      <c r="I18" t="str">
        <v>Very Good</v>
      </c>
      <c r="J18" t="str">
        <v>parent11@example.com</v>
      </c>
      <c r="K18" t="str">
        <v>guardian11@example.com</v>
      </c>
      <c r="L18" t="str">
        <v>Mr STUDENT</v>
      </c>
      <c r="M18" t="str">
        <v>Mrs STUDENT</v>
      </c>
      <c r="S18" s="5" t="s">
        <v>64</v>
      </c>
      <c r="T18" s="5" t="s">
        <v>65</v>
      </c>
      <c r="U18" s="5" t="s">
        <v>52</v>
      </c>
      <c r="V18" s="5" t="s">
        <v>53</v>
      </c>
      <c r="W18" s="17" t="e">
        <f t="shared" ref="W18:Z18" si="3">INDEX(DSA,MATCH(ID,DSA_ID,0),MATCH(S18,DSA_HEADER,0))</f>
        <v>#N/A</v>
      </c>
      <c r="X18" s="18" t="e">
        <f t="shared" si="3"/>
        <v>#N/A</v>
      </c>
      <c r="Y18" s="17" t="e">
        <f t="shared" si="3"/>
        <v>#N/A</v>
      </c>
      <c r="Z18" s="33" t="e">
        <f t="shared" si="3"/>
        <v>#N/A</v>
      </c>
      <c r="AA18" s="58"/>
      <c r="AB18" s="58"/>
      <c r="AC18" s="58"/>
      <c r="AE18" s="16" t="e">
        <f>IF(ISNUMBER(SEARCH("Foundation",$W18)),VLOOKUP(X18,Foundation,2),VLOOKUP(X18,Standard,2))</f>
        <v>#N/A</v>
      </c>
      <c r="AF18" s="16" t="e">
        <f>IF(ISNUMBER(SEARCH("Foundation",$Y18)),VLOOKUP(Z18,Foundation,2),VLOOKUP(Z18,Standard,2))</f>
        <v>#N/A</v>
      </c>
      <c r="AH18" s="9">
        <v>0</v>
      </c>
      <c r="AI18" s="9">
        <v>8</v>
      </c>
    </row>
    <row r="19" spans="1:35" x14ac:dyDescent="0.3">
      <c r="A19" t="str">
        <v>T2345681X</v>
      </c>
      <c r="B19" t="str">
        <v>STUDENT 12</v>
      </c>
      <c r="C19" t="str">
        <v>Riverside Primary</v>
      </c>
      <c r="D19" t="str">
        <v>Robotics</v>
      </c>
      <c r="E19" t="str">
        <v>Debate</v>
      </c>
      <c r="F19">
        <v>82</v>
      </c>
      <c r="G19" t="str">
        <v>Yes</v>
      </c>
      <c r="H19" t="str">
        <v>Very Good</v>
      </c>
      <c r="I19" t="str">
        <v>Good</v>
      </c>
      <c r="J19" t="str">
        <v>parent12@example.com</v>
      </c>
      <c r="K19" t="str">
        <v>guardian12@example.com</v>
      </c>
      <c r="L19" t="str">
        <v>Mr STUDENT</v>
      </c>
      <c r="M19" t="str">
        <v>Mrs STUDENT</v>
      </c>
      <c r="S19" s="5" t="s">
        <v>66</v>
      </c>
      <c r="T19" s="5" t="s">
        <v>67</v>
      </c>
      <c r="U19" s="5" t="s">
        <v>54</v>
      </c>
      <c r="V19" s="5" t="s">
        <v>55</v>
      </c>
      <c r="W19" s="17" t="e">
        <f t="shared" ref="W19:Z19" si="4">INDEX(DSA,MATCH(ID,DSA_ID,0),MATCH(S19,DSA_HEADER,0))</f>
        <v>#N/A</v>
      </c>
      <c r="X19" s="18" t="e">
        <f t="shared" si="4"/>
        <v>#N/A</v>
      </c>
      <c r="Y19" s="17" t="e">
        <f t="shared" si="4"/>
        <v>#N/A</v>
      </c>
      <c r="Z19" s="33" t="e">
        <f t="shared" si="4"/>
        <v>#N/A</v>
      </c>
      <c r="AA19" s="58"/>
      <c r="AB19" s="58"/>
      <c r="AC19" s="58"/>
      <c r="AE19" s="16" t="e">
        <f>IF(ISNUMBER(SEARCH("Foundation",$W19)),VLOOKUP(X19,Foundation,2),VLOOKUP(X19,Standard,2))</f>
        <v>#N/A</v>
      </c>
      <c r="AF19" s="16" t="e">
        <f>IF(ISNUMBER(SEARCH("Foundation",$Y19)),VLOOKUP(Z19,Foundation,2),VLOOKUP(Z19,Standard,2))</f>
        <v>#N/A</v>
      </c>
      <c r="AH19" s="9">
        <v>30</v>
      </c>
      <c r="AI19" s="9">
        <v>7</v>
      </c>
    </row>
    <row r="20" spans="1:35" x14ac:dyDescent="0.3">
      <c r="A20" t="str">
        <v>T2345682X</v>
      </c>
      <c r="B20" t="str">
        <v>STUDENT 13</v>
      </c>
      <c r="C20" t="str">
        <v>Greenview Primary</v>
      </c>
      <c r="D20" t="str">
        <v>Robotics</v>
      </c>
      <c r="E20" t="str">
        <v>Drama</v>
      </c>
      <c r="F20">
        <v>77</v>
      </c>
      <c r="G20" t="str">
        <v>Yes</v>
      </c>
      <c r="H20" t="str">
        <v>Good</v>
      </c>
      <c r="I20" t="str">
        <v>Excellent</v>
      </c>
      <c r="J20" t="str">
        <v>parent13@example.com</v>
      </c>
      <c r="K20" t="str">
        <v>guardian13@example.com</v>
      </c>
      <c r="L20" t="str">
        <v>Mr STUDENT</v>
      </c>
      <c r="M20" t="str">
        <v>Mrs STUDENT</v>
      </c>
      <c r="S20" s="5" t="s">
        <v>68</v>
      </c>
      <c r="T20" s="5" t="s">
        <v>69</v>
      </c>
      <c r="U20" s="5" t="s">
        <v>56</v>
      </c>
      <c r="V20" s="5" t="s">
        <v>57</v>
      </c>
      <c r="W20" s="17" t="e">
        <f t="shared" ref="W20:Z20" si="5">INDEX(DSA,MATCH(ID,DSA_ID,0),MATCH(S20,DSA_HEADER,0))</f>
        <v>#N/A</v>
      </c>
      <c r="X20" s="18" t="e">
        <f t="shared" si="5"/>
        <v>#N/A</v>
      </c>
      <c r="Y20" s="17" t="e">
        <f t="shared" si="5"/>
        <v>#N/A</v>
      </c>
      <c r="Z20" s="33" t="e">
        <f t="shared" si="5"/>
        <v>#N/A</v>
      </c>
      <c r="AA20" s="58"/>
      <c r="AB20" s="58"/>
      <c r="AC20" s="58"/>
      <c r="AE20" s="16" t="e">
        <f>IF(ISNUMBER(SEARCH("Foundation",$W20)),VLOOKUP(X20,Foundation,2),VLOOKUP(X20,Standard,2))</f>
        <v>#N/A</v>
      </c>
      <c r="AF20" s="16" t="e">
        <f>IF(ISNUMBER(SEARCH("Foundation",$Y20)),VLOOKUP(Z20,Foundation,2),VLOOKUP(Z20,Standard,2))</f>
        <v>#N/A</v>
      </c>
      <c r="AH20" s="9">
        <v>75</v>
      </c>
      <c r="AI20" s="9">
        <v>6</v>
      </c>
    </row>
    <row r="21" spans="1:35" x14ac:dyDescent="0.3">
      <c r="A21" t="str">
        <v>T2345683X</v>
      </c>
      <c r="B21" t="str">
        <v>STUDENT 14</v>
      </c>
      <c r="C21" t="str">
        <v>Sunshine Primary</v>
      </c>
      <c r="D21" t="str">
        <v>Robotics</v>
      </c>
      <c r="E21" t="str">
        <v>Debate</v>
      </c>
      <c r="F21">
        <v>82</v>
      </c>
      <c r="G21" t="str">
        <v>Yes</v>
      </c>
      <c r="H21" t="str">
        <v>Very Good</v>
      </c>
      <c r="I21" t="str">
        <v>Very Good</v>
      </c>
      <c r="J21" t="str">
        <v>parent14@example.com</v>
      </c>
      <c r="K21" t="str">
        <v>guardian14@example.com</v>
      </c>
      <c r="L21" t="str">
        <v>Mr STUDENT</v>
      </c>
      <c r="M21" t="str">
        <v>Mrs STUDENT</v>
      </c>
      <c r="S21" s="5" t="s">
        <v>70</v>
      </c>
      <c r="T21" s="5" t="s">
        <v>71</v>
      </c>
      <c r="U21" s="5" t="s">
        <v>58</v>
      </c>
      <c r="V21" s="5" t="s">
        <v>59</v>
      </c>
      <c r="W21" s="17" t="e">
        <f t="shared" ref="W21:Z21" si="6">INDEX(DSA,MATCH(ID,DSA_ID,0),MATCH(S21,DSA_HEADER,0))</f>
        <v>#N/A</v>
      </c>
      <c r="X21" s="18" t="e">
        <f t="shared" si="6"/>
        <v>#N/A</v>
      </c>
      <c r="Y21" s="17" t="e">
        <f t="shared" si="6"/>
        <v>#N/A</v>
      </c>
      <c r="Z21" s="33" t="e">
        <f t="shared" si="6"/>
        <v>#N/A</v>
      </c>
      <c r="AA21" s="58"/>
      <c r="AB21" s="58"/>
      <c r="AC21" s="58"/>
      <c r="AE21" s="16"/>
      <c r="AF21" s="16"/>
    </row>
    <row r="22" spans="1:35" x14ac:dyDescent="0.3">
      <c r="A22" t="str">
        <v>T2345684X</v>
      </c>
      <c r="B22" t="str">
        <v>STUDENT 15</v>
      </c>
      <c r="C22" t="str">
        <v>Sunshine Primary</v>
      </c>
      <c r="D22" t="str">
        <v>Art</v>
      </c>
      <c r="E22" t="str">
        <v>Drama</v>
      </c>
      <c r="F22">
        <v>89</v>
      </c>
      <c r="G22" t="str">
        <v>Yes</v>
      </c>
      <c r="H22" t="str">
        <v>Good</v>
      </c>
      <c r="I22" t="str">
        <v>Good</v>
      </c>
      <c r="J22" t="str">
        <v>parent15@example.com</v>
      </c>
      <c r="K22" t="str">
        <v>guardian15@example.com</v>
      </c>
      <c r="L22" t="str">
        <v>Mr STUDENT</v>
      </c>
      <c r="M22" t="str">
        <v>Mrs STUDENT</v>
      </c>
      <c r="T22" s="5" t="s">
        <v>26</v>
      </c>
      <c r="V22" s="5" t="s">
        <v>25</v>
      </c>
      <c r="W22" s="19" t="s">
        <v>100</v>
      </c>
      <c r="X22" s="20" t="e">
        <f>INDEX(DSA,MATCH(ID,DSA_ID,0),MATCH(T22,DSA_HEADER,0))&amp;" ("&amp;AE22&amp;")"</f>
        <v>#N/A</v>
      </c>
      <c r="Z22" s="20" t="e">
        <f>INDEX(DSA,MATCH(ID,DSA_ID,0),MATCH(V22,DSA_HEADER,0))&amp;" ("&amp;AF22&amp;")"</f>
        <v>#N/A</v>
      </c>
      <c r="AA22" s="58"/>
      <c r="AB22" s="58"/>
      <c r="AC22" s="58"/>
      <c r="AE22" s="16" t="e">
        <f>SUM(AE17:AE20)</f>
        <v>#N/A</v>
      </c>
      <c r="AF22" s="16" t="e">
        <f>SUM(AF17:AF20)</f>
        <v>#N/A</v>
      </c>
    </row>
    <row r="23" spans="1:35" ht="14.4" customHeight="1" x14ac:dyDescent="0.3">
      <c r="A23" t="str">
        <v>T2345685X</v>
      </c>
      <c r="B23" t="str">
        <v>STUDENT 16</v>
      </c>
      <c r="C23" t="str">
        <v>Riverside Primary</v>
      </c>
      <c r="D23" t="str">
        <v>Art</v>
      </c>
      <c r="E23" t="str">
        <v/>
      </c>
      <c r="F23">
        <v>79</v>
      </c>
      <c r="G23" t="str">
        <v>Yes</v>
      </c>
      <c r="H23" t="str">
        <v>Excellent</v>
      </c>
      <c r="I23" t="str">
        <v>Good</v>
      </c>
      <c r="J23" t="str">
        <v>parent16@example.com</v>
      </c>
      <c r="K23" t="str">
        <v>guardian16@example.com</v>
      </c>
      <c r="L23" t="str">
        <v>Mr STUDENT</v>
      </c>
      <c r="M23" t="str">
        <v>Mrs STUDENT</v>
      </c>
      <c r="T23" s="5" t="s">
        <v>72</v>
      </c>
      <c r="V23" s="5" t="s">
        <v>60</v>
      </c>
      <c r="W23" s="21" t="s">
        <v>101</v>
      </c>
      <c r="X23" s="18" t="e">
        <f>INDEX(DSA,MATCH(ID,DSA_ID,0),MATCH(T23,DSA_HEADER,0))</f>
        <v>#N/A</v>
      </c>
      <c r="Z23" s="18" t="e">
        <f>INDEX(DSA,MATCH(ID,DSA_ID,0),MATCH(V23,DSA_HEADER,0))</f>
        <v>#N/A</v>
      </c>
      <c r="AA23" s="58"/>
      <c r="AB23" s="58"/>
      <c r="AC23" s="58"/>
    </row>
    <row r="24" spans="1:35" x14ac:dyDescent="0.3">
      <c r="A24" t="str">
        <v>T2345686X</v>
      </c>
      <c r="B24" t="str">
        <v>STUDENT 17</v>
      </c>
      <c r="C24" t="str">
        <v>Greenview Primary</v>
      </c>
      <c r="D24" t="str">
        <v>Science</v>
      </c>
      <c r="E24" t="str">
        <v>Track &amp; Field</v>
      </c>
      <c r="F24">
        <v>84</v>
      </c>
      <c r="G24" t="str">
        <v>Yes</v>
      </c>
      <c r="H24" t="str">
        <v>Excellent</v>
      </c>
      <c r="I24" t="str">
        <v>Good</v>
      </c>
      <c r="J24" t="str">
        <v>parent17@example.com</v>
      </c>
      <c r="K24" t="str">
        <v>guardian17@example.com</v>
      </c>
      <c r="L24" t="str">
        <v>Mr STUDENT</v>
      </c>
      <c r="M24" t="str">
        <v>Mrs STUDENT</v>
      </c>
      <c r="AA24" s="58"/>
      <c r="AB24" s="58"/>
      <c r="AC24" s="58"/>
    </row>
    <row r="25" spans="1:35" x14ac:dyDescent="0.3">
      <c r="A25" t="str">
        <v>T2345687X</v>
      </c>
      <c r="B25" t="str">
        <v>STUDENT 18</v>
      </c>
      <c r="C25" t="str">
        <v>Sunshine Primary</v>
      </c>
      <c r="D25" t="str">
        <v>Robotics</v>
      </c>
      <c r="E25" t="str">
        <v>Drama</v>
      </c>
      <c r="F25">
        <v>64</v>
      </c>
      <c r="G25" t="str">
        <v>Yes</v>
      </c>
      <c r="H25" t="str">
        <v>Excellent</v>
      </c>
      <c r="I25" t="str">
        <v>Excellent</v>
      </c>
      <c r="J25" t="str">
        <v>parent18@example.com</v>
      </c>
      <c r="K25" t="str">
        <v>guardian18@example.com</v>
      </c>
      <c r="L25" t="str">
        <v>Mr STUDENT</v>
      </c>
      <c r="M25" t="str">
        <v>Mrs STUDENT</v>
      </c>
      <c r="U25" s="5" t="s">
        <v>36</v>
      </c>
      <c r="W25" s="67" t="s">
        <v>102</v>
      </c>
      <c r="X25" s="67"/>
      <c r="Y25" s="22" t="s">
        <v>103</v>
      </c>
      <c r="Z25" s="18" t="e">
        <f>INDEX(NAPFA[],MATCH(ID,NAPFA[BC/FIN/RG NO.],0),MATCH(U25,NAPFA[#Headers],0))</f>
        <v>#N/A</v>
      </c>
      <c r="AA25" s="57" t="s">
        <v>104</v>
      </c>
      <c r="AB25" s="57"/>
      <c r="AC25" s="57"/>
    </row>
    <row r="26" spans="1:35" ht="13.8" customHeight="1" x14ac:dyDescent="0.3">
      <c r="A26" t="str">
        <v>T2345688X</v>
      </c>
      <c r="B26" t="str">
        <v>STUDENT 19</v>
      </c>
      <c r="C26" t="str">
        <v>Riverside Primary</v>
      </c>
      <c r="D26" t="str">
        <v>Badminton</v>
      </c>
      <c r="E26" t="str">
        <v/>
      </c>
      <c r="F26">
        <v>81</v>
      </c>
      <c r="G26" t="str">
        <v>Yes</v>
      </c>
      <c r="H26" t="str">
        <v>Good</v>
      </c>
      <c r="I26" t="str">
        <v>Very Good</v>
      </c>
      <c r="J26" t="str">
        <v>parent19@example.com</v>
      </c>
      <c r="K26" t="str">
        <v>guardian19@example.com</v>
      </c>
      <c r="L26" t="str">
        <v>Mr STUDENT</v>
      </c>
      <c r="M26" t="str">
        <v>Mrs STUDENT</v>
      </c>
      <c r="V26" s="5" t="s">
        <v>151</v>
      </c>
      <c r="W26" s="68" t="e">
        <f>INDEX(DSA,MATCH(ID,DSA_ID,0),MATCH(V26,DSA_HEADER,0))</f>
        <v>#N/A</v>
      </c>
      <c r="X26" s="68"/>
      <c r="Y26" s="23" t="s">
        <v>105</v>
      </c>
      <c r="Z26" s="23" t="s">
        <v>106</v>
      </c>
      <c r="AA26" s="58" t="e">
        <f>INDEX(DSA,MATCH(ID,DSA_ID,0),MATCH(AD26,DSA_HEADER,0))</f>
        <v>#N/A</v>
      </c>
      <c r="AB26" s="58"/>
      <c r="AC26" s="58"/>
      <c r="AD26" s="5" t="s">
        <v>61</v>
      </c>
    </row>
    <row r="27" spans="1:35" ht="13.8" customHeight="1" x14ac:dyDescent="0.3">
      <c r="A27" t="str">
        <v>T2345689X</v>
      </c>
      <c r="B27" t="str">
        <v>STUDENT 20</v>
      </c>
      <c r="C27" t="str">
        <v>Greenview Primary</v>
      </c>
      <c r="D27" t="str">
        <v>Badminton</v>
      </c>
      <c r="E27" t="str">
        <v/>
      </c>
      <c r="F27">
        <v>79</v>
      </c>
      <c r="G27" t="str">
        <v>Yes</v>
      </c>
      <c r="H27" t="str">
        <v>Very Good</v>
      </c>
      <c r="I27" t="str">
        <v>Excellent</v>
      </c>
      <c r="J27" t="str">
        <v>parent20@example.com</v>
      </c>
      <c r="K27" t="str">
        <v>guardian20@example.com</v>
      </c>
      <c r="L27" t="str">
        <v>Mr STUDENT</v>
      </c>
      <c r="M27" t="str">
        <v>Mrs STUDENT</v>
      </c>
      <c r="T27" s="5" t="s">
        <v>28</v>
      </c>
      <c r="U27" s="5" t="s">
        <v>29</v>
      </c>
      <c r="V27" s="5" t="s">
        <v>152</v>
      </c>
      <c r="W27" s="69" t="e">
        <f>INDEX(DSA,MATCH(ID,DSA_ID,0),MATCH(V27,DSA_HEADER,0))</f>
        <v>#N/A</v>
      </c>
      <c r="X27" s="69"/>
      <c r="Y27" s="18" t="e">
        <f>INDEX(NAPFA[],MATCH(ID,NAPFA[BC/FIN/RG NO.],0),MATCH(T27,NAPFA[#Headers],0))</f>
        <v>#N/A</v>
      </c>
      <c r="Z27" s="18" t="e">
        <f>INDEX(NAPFA[],MATCH(ID,NAPFA[BC/FIN/RG NO.],0),MATCH(U27,NAPFA[#Headers],0))</f>
        <v>#N/A</v>
      </c>
      <c r="AA27" s="58"/>
      <c r="AB27" s="58"/>
      <c r="AC27" s="58"/>
    </row>
    <row r="28" spans="1:35" ht="13.8" customHeight="1" x14ac:dyDescent="0.3">
      <c r="T28" s="5"/>
      <c r="U28" s="5" t="s">
        <v>30</v>
      </c>
      <c r="W28" s="69"/>
      <c r="X28" s="69"/>
      <c r="Y28" s="24" t="s">
        <v>107</v>
      </c>
      <c r="Z28" s="18" t="e">
        <f>INDEX(NAPFA[],MATCH(ID,NAPFA[BC/FIN/RG NO.],0),MATCH(U28,NAPFA[#Headers],0))</f>
        <v>#N/A</v>
      </c>
      <c r="AA28" s="58"/>
      <c r="AB28" s="58"/>
      <c r="AC28" s="58"/>
    </row>
    <row r="29" spans="1:35" ht="13.8" customHeight="1" x14ac:dyDescent="0.3">
      <c r="T29" s="5"/>
      <c r="U29" s="5" t="s">
        <v>31</v>
      </c>
      <c r="W29" s="69"/>
      <c r="X29" s="69"/>
      <c r="Y29" s="24" t="s">
        <v>108</v>
      </c>
      <c r="Z29" s="18" t="e">
        <f>INDEX(NAPFA[],MATCH(ID,NAPFA[BC/FIN/RG NO.],0),MATCH(U29,NAPFA[#Headers],0))</f>
        <v>#N/A</v>
      </c>
      <c r="AA29" s="58"/>
      <c r="AB29" s="58"/>
      <c r="AC29" s="58"/>
    </row>
    <row r="30" spans="1:35" ht="13.8" customHeight="1" x14ac:dyDescent="0.3">
      <c r="T30" s="5"/>
      <c r="U30" s="5" t="s">
        <v>32</v>
      </c>
      <c r="W30" s="69"/>
      <c r="X30" s="69"/>
      <c r="Y30" s="24" t="s">
        <v>109</v>
      </c>
      <c r="Z30" s="18" t="e">
        <f>INDEX(NAPFA[],MATCH(ID,NAPFA[BC/FIN/RG NO.],0),MATCH(U30,NAPFA[#Headers],0))</f>
        <v>#N/A</v>
      </c>
      <c r="AA30" s="58"/>
      <c r="AB30" s="58"/>
      <c r="AC30" s="58"/>
    </row>
    <row r="31" spans="1:35" ht="13.8" customHeight="1" x14ac:dyDescent="0.3">
      <c r="T31" s="5"/>
      <c r="U31" s="5" t="s">
        <v>33</v>
      </c>
      <c r="W31" s="69"/>
      <c r="X31" s="69"/>
      <c r="Y31" s="24" t="s">
        <v>110</v>
      </c>
      <c r="Z31" s="18" t="e">
        <f>INDEX(NAPFA[],MATCH(ID,NAPFA[BC/FIN/RG NO.],0),MATCH(U31,NAPFA[#Headers],0))</f>
        <v>#N/A</v>
      </c>
      <c r="AA31" s="58"/>
      <c r="AB31" s="58"/>
      <c r="AC31" s="58"/>
    </row>
    <row r="32" spans="1:35" ht="13.8" customHeight="1" x14ac:dyDescent="0.3">
      <c r="T32" s="5"/>
      <c r="U32" s="5" t="s">
        <v>34</v>
      </c>
      <c r="W32" s="69"/>
      <c r="X32" s="69"/>
      <c r="Y32" s="24" t="s">
        <v>111</v>
      </c>
      <c r="Z32" s="18" t="e">
        <f>INDEX(NAPFA[],MATCH(ID,NAPFA[BC/FIN/RG NO.],0),MATCH(U32,NAPFA[#Headers],0))</f>
        <v>#N/A</v>
      </c>
      <c r="AA32" s="58"/>
      <c r="AB32" s="58"/>
      <c r="AC32" s="58"/>
    </row>
    <row r="33" spans="19:32" ht="13.8" customHeight="1" x14ac:dyDescent="0.3">
      <c r="T33" s="5"/>
      <c r="U33" s="5" t="s">
        <v>35</v>
      </c>
      <c r="W33" s="69"/>
      <c r="X33" s="69"/>
      <c r="Y33" s="24" t="s">
        <v>112</v>
      </c>
      <c r="Z33" s="18" t="e">
        <f>INDEX(NAPFA[],MATCH(ID,NAPFA[BC/FIN/RG NO.],0),MATCH(U33,NAPFA[#Headers],0))</f>
        <v>#N/A</v>
      </c>
      <c r="AA33" s="58"/>
      <c r="AB33" s="58"/>
      <c r="AC33" s="58"/>
    </row>
    <row r="34" spans="19:32" ht="13.8" customHeight="1" x14ac:dyDescent="0.3">
      <c r="T34" s="5"/>
      <c r="U34" s="5"/>
      <c r="W34" s="25"/>
      <c r="X34" s="25"/>
      <c r="Y34" s="26"/>
      <c r="Z34" s="27"/>
      <c r="AA34" s="28"/>
      <c r="AB34" s="28"/>
      <c r="AC34" s="28"/>
    </row>
    <row r="35" spans="19:32" x14ac:dyDescent="0.3">
      <c r="W35" s="29" t="s">
        <v>113</v>
      </c>
      <c r="X35" s="29" t="s">
        <v>114</v>
      </c>
      <c r="Y35" s="29" t="s">
        <v>115</v>
      </c>
      <c r="Z35" s="29" t="s">
        <v>116</v>
      </c>
      <c r="AA35" s="30" t="s">
        <v>117</v>
      </c>
      <c r="AB35" s="30" t="s">
        <v>118</v>
      </c>
      <c r="AC35" s="30" t="s">
        <v>119</v>
      </c>
    </row>
    <row r="36" spans="19:32" x14ac:dyDescent="0.3">
      <c r="S36" s="5"/>
      <c r="T36" s="5"/>
      <c r="U36" s="5"/>
      <c r="V36" s="5"/>
      <c r="W36" cm="1">
        <f t="array" ref="W36:Z50">_xlfn.TAKE(_xlfn._xlws.SORT(_xlfn._xlws.FILTER('CCA'!B:E, 'CCA'!A:A=ID), , -1), 15)</f>
        <v>0</v>
      </c>
      <c r="X36" s="21">
        <v>0</v>
      </c>
      <c r="Y36" s="21">
        <v>0</v>
      </c>
      <c r="Z36" s="21">
        <v>0</v>
      </c>
      <c r="AA36" cm="1">
        <f t="array" ref="AA36:AC50">_xlfn.TAKE(_xlfn._xlws.SORT(_xlfn._xlws.FILTER(VIA!B:D, VIA!A:A=ID), , -1), 15)</f>
        <v>0</v>
      </c>
      <c r="AB36" s="21">
        <v>0</v>
      </c>
      <c r="AC36" s="21">
        <v>0</v>
      </c>
      <c r="AD36" s="5"/>
      <c r="AE36" s="5"/>
      <c r="AF36" s="5"/>
    </row>
    <row r="37" spans="19:32" x14ac:dyDescent="0.3">
      <c r="S37" s="5"/>
      <c r="T37" s="5"/>
      <c r="U37" s="5"/>
      <c r="V37" s="5"/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5"/>
      <c r="AE37" s="5"/>
      <c r="AF37" s="5"/>
    </row>
    <row r="38" spans="19:32" x14ac:dyDescent="0.3">
      <c r="S38" s="5"/>
      <c r="T38" s="5"/>
      <c r="U38" s="5"/>
      <c r="V38" s="5"/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5"/>
      <c r="AE38" s="5"/>
      <c r="AF38" s="5"/>
    </row>
    <row r="39" spans="19:32" x14ac:dyDescent="0.3">
      <c r="S39" s="5"/>
      <c r="T39" s="5"/>
      <c r="U39" s="5"/>
      <c r="V39" s="5"/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5"/>
      <c r="AE39" s="5"/>
      <c r="AF39" s="5"/>
    </row>
    <row r="40" spans="19:32" x14ac:dyDescent="0.3">
      <c r="S40" s="5"/>
      <c r="T40" s="5"/>
      <c r="U40" s="5"/>
      <c r="V40" s="5"/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5"/>
      <c r="AE40" s="5"/>
      <c r="AF40" s="5"/>
    </row>
    <row r="41" spans="19:32" x14ac:dyDescent="0.3">
      <c r="S41" s="5"/>
      <c r="T41" s="5"/>
      <c r="U41" s="5"/>
      <c r="V41" s="5"/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5"/>
      <c r="AE41" s="5"/>
      <c r="AF41" s="5"/>
    </row>
    <row r="42" spans="19:32" x14ac:dyDescent="0.3">
      <c r="S42" s="5"/>
      <c r="T42" s="5"/>
      <c r="U42" s="5"/>
      <c r="V42" s="5"/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5"/>
      <c r="AE42" s="5"/>
      <c r="AF42" s="5"/>
    </row>
    <row r="43" spans="19:32" x14ac:dyDescent="0.3">
      <c r="S43" s="5"/>
      <c r="T43" s="5"/>
      <c r="U43" s="5"/>
      <c r="V43" s="5"/>
      <c r="W43" s="21">
        <v>0</v>
      </c>
      <c r="X43" s="21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0</v>
      </c>
      <c r="AD43" s="5"/>
      <c r="AE43" s="5"/>
      <c r="AF43" s="5"/>
    </row>
    <row r="44" spans="19:32" x14ac:dyDescent="0.3">
      <c r="S44" s="5"/>
      <c r="T44" s="5"/>
      <c r="U44" s="5"/>
      <c r="V44" s="5"/>
      <c r="W44" s="21">
        <v>0</v>
      </c>
      <c r="X44" s="21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0</v>
      </c>
      <c r="AD44" s="5"/>
      <c r="AE44" s="5"/>
      <c r="AF44" s="5"/>
    </row>
    <row r="45" spans="19:32" x14ac:dyDescent="0.3">
      <c r="S45" s="5"/>
      <c r="T45" s="5"/>
      <c r="U45" s="5"/>
      <c r="V45" s="5"/>
      <c r="W45" s="21">
        <v>0</v>
      </c>
      <c r="X45" s="21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0</v>
      </c>
      <c r="AD45" s="5"/>
      <c r="AE45" s="5"/>
      <c r="AF45" s="5"/>
    </row>
    <row r="46" spans="19:32" x14ac:dyDescent="0.3">
      <c r="S46" s="5"/>
      <c r="T46" s="5"/>
      <c r="U46" s="5"/>
      <c r="V46" s="5"/>
      <c r="W46" s="21">
        <v>0</v>
      </c>
      <c r="X46" s="21">
        <v>0</v>
      </c>
      <c r="Y46" s="21">
        <v>0</v>
      </c>
      <c r="Z46" s="21">
        <v>0</v>
      </c>
      <c r="AA46" s="21">
        <v>0</v>
      </c>
      <c r="AB46" s="21">
        <v>0</v>
      </c>
      <c r="AC46" s="21">
        <v>0</v>
      </c>
      <c r="AD46" s="5"/>
      <c r="AE46" s="5"/>
      <c r="AF46" s="5"/>
    </row>
    <row r="47" spans="19:32" x14ac:dyDescent="0.3">
      <c r="S47" s="5"/>
      <c r="T47" s="5"/>
      <c r="U47" s="5"/>
      <c r="V47" s="5"/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0</v>
      </c>
      <c r="AC47" s="21">
        <v>0</v>
      </c>
      <c r="AD47" s="5"/>
      <c r="AE47" s="5"/>
      <c r="AF47" s="5"/>
    </row>
    <row r="48" spans="19:32" x14ac:dyDescent="0.3">
      <c r="S48" s="5"/>
      <c r="T48" s="5"/>
      <c r="U48" s="5"/>
      <c r="V48" s="5"/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5"/>
      <c r="AE48" s="5"/>
      <c r="AF48" s="5"/>
    </row>
    <row r="49" spans="19:32" x14ac:dyDescent="0.3">
      <c r="S49" s="5"/>
      <c r="T49" s="5"/>
      <c r="U49" s="5"/>
      <c r="V49" s="5"/>
      <c r="W49" s="21">
        <v>0</v>
      </c>
      <c r="X49" s="21">
        <v>0</v>
      </c>
      <c r="Y49" s="21">
        <v>0</v>
      </c>
      <c r="Z49" s="21">
        <v>0</v>
      </c>
      <c r="AA49" s="21">
        <v>0</v>
      </c>
      <c r="AB49" s="21">
        <v>0</v>
      </c>
      <c r="AC49" s="21">
        <v>0</v>
      </c>
      <c r="AD49" s="5"/>
      <c r="AE49" s="5"/>
      <c r="AF49" s="5"/>
    </row>
    <row r="50" spans="19:32" x14ac:dyDescent="0.3">
      <c r="S50" s="5"/>
      <c r="T50" s="5"/>
      <c r="U50" s="5"/>
      <c r="V50" s="5"/>
      <c r="W50" s="21">
        <v>0</v>
      </c>
      <c r="X50" s="21">
        <v>0</v>
      </c>
      <c r="Y50" s="21">
        <v>0</v>
      </c>
      <c r="Z50" s="21">
        <v>0</v>
      </c>
      <c r="AA50" s="21">
        <v>0</v>
      </c>
      <c r="AB50" s="21">
        <v>0</v>
      </c>
      <c r="AC50" s="21">
        <v>0</v>
      </c>
      <c r="AD50" s="5"/>
      <c r="AE50" s="5"/>
      <c r="AF50" s="5"/>
    </row>
    <row r="52" spans="19:32" x14ac:dyDescent="0.3">
      <c r="W52" s="31" t="s">
        <v>120</v>
      </c>
      <c r="X52" s="31" t="s">
        <v>121</v>
      </c>
      <c r="Z52" s="70" t="s">
        <v>122</v>
      </c>
      <c r="AA52" s="71"/>
      <c r="AB52" s="71"/>
      <c r="AC52" s="72"/>
    </row>
    <row r="53" spans="19:32" ht="36" customHeight="1" x14ac:dyDescent="0.3">
      <c r="U53" s="5"/>
      <c r="V53" s="5"/>
      <c r="W53" cm="1">
        <f t="array" ref="W53:X62">_xlfn.TAKE(_xlfn._xlws.SORT(_xlfn._xlws.FILTER('MOE SB Award'!B:C, 'MOE SB Award'!A:A=ID), , -1), 10)</f>
        <v>0</v>
      </c>
      <c r="X53" s="32">
        <v>0</v>
      </c>
      <c r="Y53" s="5" cm="1">
        <f t="array" ref="Y53:Y62">_xlfn.TAKE(_xlfn._xlws.FILTER('Non SB'!B:B, 'Non SB'!A:A=ID), 10)</f>
        <v>0</v>
      </c>
      <c r="Z53" s="64">
        <f>Y53</f>
        <v>0</v>
      </c>
      <c r="AA53" s="65"/>
      <c r="AB53" s="65"/>
      <c r="AC53" s="66"/>
    </row>
    <row r="54" spans="19:32" ht="36" customHeight="1" x14ac:dyDescent="0.3">
      <c r="U54" s="5"/>
      <c r="V54" s="5"/>
      <c r="W54" s="21">
        <v>0</v>
      </c>
      <c r="X54" s="32">
        <v>0</v>
      </c>
      <c r="Y54" s="5">
        <v>0</v>
      </c>
      <c r="Z54" s="64">
        <f t="shared" ref="Z54:Z62" si="7">Y54</f>
        <v>0</v>
      </c>
      <c r="AA54" s="65"/>
      <c r="AB54" s="65"/>
      <c r="AC54" s="66"/>
    </row>
    <row r="55" spans="19:32" ht="36" customHeight="1" x14ac:dyDescent="0.3">
      <c r="U55" s="5"/>
      <c r="V55" s="5"/>
      <c r="W55" s="21">
        <v>0</v>
      </c>
      <c r="X55" s="32">
        <v>0</v>
      </c>
      <c r="Y55" s="5">
        <v>0</v>
      </c>
      <c r="Z55" s="64">
        <f t="shared" si="7"/>
        <v>0</v>
      </c>
      <c r="AA55" s="65"/>
      <c r="AB55" s="65"/>
      <c r="AC55" s="66"/>
    </row>
    <row r="56" spans="19:32" ht="36" customHeight="1" x14ac:dyDescent="0.3">
      <c r="U56" s="5"/>
      <c r="V56" s="5"/>
      <c r="W56" s="21">
        <v>0</v>
      </c>
      <c r="X56" s="32">
        <v>0</v>
      </c>
      <c r="Y56" s="5">
        <v>0</v>
      </c>
      <c r="Z56" s="64">
        <f t="shared" si="7"/>
        <v>0</v>
      </c>
      <c r="AA56" s="65"/>
      <c r="AB56" s="65"/>
      <c r="AC56" s="66"/>
    </row>
    <row r="57" spans="19:32" ht="36" customHeight="1" x14ac:dyDescent="0.3">
      <c r="U57" s="5"/>
      <c r="V57" s="5"/>
      <c r="W57" s="21">
        <v>0</v>
      </c>
      <c r="X57" s="32">
        <v>0</v>
      </c>
      <c r="Y57" s="5">
        <v>0</v>
      </c>
      <c r="Z57" s="64">
        <f t="shared" si="7"/>
        <v>0</v>
      </c>
      <c r="AA57" s="65"/>
      <c r="AB57" s="65"/>
      <c r="AC57" s="66"/>
    </row>
    <row r="58" spans="19:32" ht="36" customHeight="1" x14ac:dyDescent="0.3">
      <c r="W58" s="21">
        <v>0</v>
      </c>
      <c r="X58" s="32">
        <v>0</v>
      </c>
      <c r="Y58" s="5">
        <v>0</v>
      </c>
      <c r="Z58" s="64">
        <f t="shared" si="7"/>
        <v>0</v>
      </c>
      <c r="AA58" s="65"/>
      <c r="AB58" s="65"/>
      <c r="AC58" s="66"/>
    </row>
    <row r="59" spans="19:32" ht="36" customHeight="1" x14ac:dyDescent="0.3">
      <c r="W59" s="21">
        <v>0</v>
      </c>
      <c r="X59" s="32">
        <v>0</v>
      </c>
      <c r="Y59" s="5">
        <v>0</v>
      </c>
      <c r="Z59" s="64">
        <f t="shared" si="7"/>
        <v>0</v>
      </c>
      <c r="AA59" s="65"/>
      <c r="AB59" s="65"/>
      <c r="AC59" s="66"/>
    </row>
    <row r="60" spans="19:32" ht="36" customHeight="1" x14ac:dyDescent="0.3">
      <c r="W60" s="21">
        <v>0</v>
      </c>
      <c r="X60" s="32">
        <v>0</v>
      </c>
      <c r="Y60" s="5">
        <v>0</v>
      </c>
      <c r="Z60" s="64">
        <f t="shared" si="7"/>
        <v>0</v>
      </c>
      <c r="AA60" s="65"/>
      <c r="AB60" s="65"/>
      <c r="AC60" s="66"/>
    </row>
    <row r="61" spans="19:32" ht="36" customHeight="1" x14ac:dyDescent="0.3">
      <c r="W61" s="21">
        <v>0</v>
      </c>
      <c r="X61" s="32">
        <v>0</v>
      </c>
      <c r="Y61" s="5">
        <v>0</v>
      </c>
      <c r="Z61" s="64">
        <f t="shared" si="7"/>
        <v>0</v>
      </c>
      <c r="AA61" s="65"/>
      <c r="AB61" s="65"/>
      <c r="AC61" s="66"/>
    </row>
    <row r="62" spans="19:32" ht="36" customHeight="1" x14ac:dyDescent="0.3">
      <c r="W62" s="21">
        <v>0</v>
      </c>
      <c r="X62" s="32">
        <v>0</v>
      </c>
      <c r="Y62" s="5">
        <v>0</v>
      </c>
      <c r="Z62" s="64">
        <f t="shared" si="7"/>
        <v>0</v>
      </c>
      <c r="AA62" s="65"/>
      <c r="AB62" s="65"/>
      <c r="AC62" s="66"/>
    </row>
  </sheetData>
  <autoFilter ref="A7:M262" xr:uid="{45E5E740-654F-49EC-89DA-D2234690C0F3}"/>
  <mergeCells count="29">
    <mergeCell ref="Z61:AC61"/>
    <mergeCell ref="Z62:AC62"/>
    <mergeCell ref="W25:X25"/>
    <mergeCell ref="AA25:AC25"/>
    <mergeCell ref="Z58:AC58"/>
    <mergeCell ref="Z59:AC59"/>
    <mergeCell ref="Z60:AC60"/>
    <mergeCell ref="Z55:AC55"/>
    <mergeCell ref="Z56:AC56"/>
    <mergeCell ref="Z57:AC57"/>
    <mergeCell ref="W26:X26"/>
    <mergeCell ref="AA26:AC33"/>
    <mergeCell ref="W27:X33"/>
    <mergeCell ref="Z52:AC52"/>
    <mergeCell ref="Z53:AC53"/>
    <mergeCell ref="Z54:AC54"/>
    <mergeCell ref="B1:M1"/>
    <mergeCell ref="W1:AC1"/>
    <mergeCell ref="AA16:AC16"/>
    <mergeCell ref="AA17:AC24"/>
    <mergeCell ref="AH7:AI7"/>
    <mergeCell ref="X8:Y8"/>
    <mergeCell ref="Z8:AA8"/>
    <mergeCell ref="D4:E4"/>
    <mergeCell ref="X7:Y7"/>
    <mergeCell ref="Z7:AA7"/>
    <mergeCell ref="AA10:AB10"/>
    <mergeCell ref="AA11:AB11"/>
    <mergeCell ref="AH17:AI17"/>
  </mergeCells>
  <conditionalFormatting sqref="Y17:Y20">
    <cfRule type="expression" dxfId="40" priority="1">
      <formula>$W17&lt;&gt;$Y17</formula>
    </cfRule>
  </conditionalFormatting>
  <pageMargins left="0.7" right="0.7" top="0.75" bottom="0.75" header="0.3" footer="0.3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0226E-727A-4B4B-8A77-0E9060A9D813}">
  <sheetPr codeName="Sheet2">
    <tabColor theme="8"/>
  </sheetPr>
  <dimension ref="A1:AN100"/>
  <sheetViews>
    <sheetView zoomScaleNormal="100" workbookViewId="0">
      <selection activeCell="P12" sqref="P12"/>
    </sheetView>
  </sheetViews>
  <sheetFormatPr defaultRowHeight="14.4" x14ac:dyDescent="0.3"/>
  <cols>
    <col min="17" max="19" width="13.21875" customWidth="1"/>
    <col min="20" max="20" width="13.44140625" customWidth="1"/>
    <col min="22" max="22" width="20.44140625" customWidth="1"/>
    <col min="23" max="23" width="17.21875" customWidth="1"/>
    <col min="25" max="25" width="25.21875" customWidth="1"/>
    <col min="26" max="26" width="21.109375" customWidth="1"/>
    <col min="27" max="27" width="12.33203125" customWidth="1"/>
    <col min="28" max="28" width="8.44140625" customWidth="1"/>
    <col min="29" max="29" width="9.88671875" customWidth="1"/>
    <col min="30" max="30" width="8.33203125" customWidth="1"/>
    <col min="31" max="31" width="9.21875" customWidth="1"/>
    <col min="32" max="32" width="8.6640625" customWidth="1"/>
    <col min="36" max="36" width="8.5546875" customWidth="1"/>
    <col min="37" max="38" width="9.88671875" customWidth="1"/>
    <col min="39" max="39" width="17.21875" customWidth="1"/>
  </cols>
  <sheetData>
    <row r="1" spans="1:40" ht="34.200000000000003" thickBot="1" x14ac:dyDescent="0.7">
      <c r="A1" s="73" t="s">
        <v>126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X1" s="37"/>
      <c r="Y1" s="51" t="s">
        <v>123</v>
      </c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3"/>
      <c r="AK1" s="37"/>
      <c r="AL1" s="37"/>
      <c r="AM1" s="37"/>
      <c r="AN1" s="37"/>
    </row>
    <row r="3" spans="1:40" x14ac:dyDescent="0.3">
      <c r="T3" s="5" t="s">
        <v>137</v>
      </c>
      <c r="Y3" s="1" t="s">
        <v>74</v>
      </c>
      <c r="Z3" s="1" t="s">
        <v>75</v>
      </c>
      <c r="AA3" s="1" t="s">
        <v>76</v>
      </c>
      <c r="AC3" s="1" t="s">
        <v>77</v>
      </c>
      <c r="AE3" s="1" t="s">
        <v>125</v>
      </c>
      <c r="AJ3" s="1" t="s">
        <v>78</v>
      </c>
    </row>
    <row r="4" spans="1:40" x14ac:dyDescent="0.3">
      <c r="A4" s="1"/>
      <c r="K4" s="1"/>
      <c r="L4" s="1"/>
      <c r="T4" s="5" t="s">
        <v>138</v>
      </c>
      <c r="U4" s="1"/>
      <c r="Y4" s="2"/>
      <c r="Z4" s="2"/>
      <c r="AA4" s="61"/>
      <c r="AB4" s="61"/>
      <c r="AC4" s="3">
        <v>50</v>
      </c>
      <c r="AD4" s="3" t="s">
        <v>45</v>
      </c>
      <c r="AE4" s="3"/>
      <c r="AF4" s="3"/>
      <c r="AJ4" s="4" t="str">
        <f>IF(COUNTA(X:X)=3,X8,"")</f>
        <v/>
      </c>
    </row>
    <row r="5" spans="1:40" ht="15" thickBot="1" x14ac:dyDescent="0.35">
      <c r="A5" s="38" t="s">
        <v>127</v>
      </c>
      <c r="K5" s="38" t="s">
        <v>127</v>
      </c>
      <c r="L5" s="38" t="s">
        <v>127</v>
      </c>
      <c r="T5" s="38" t="s">
        <v>127</v>
      </c>
      <c r="U5" s="1" t="s">
        <v>128</v>
      </c>
      <c r="AC5" s="3">
        <v>100</v>
      </c>
    </row>
    <row r="6" spans="1:40" ht="29.4" thickBot="1" x14ac:dyDescent="0.35">
      <c r="A6" s="39" t="s">
        <v>129</v>
      </c>
      <c r="B6" s="40" t="s">
        <v>129</v>
      </c>
      <c r="C6" s="40" t="s">
        <v>129</v>
      </c>
      <c r="D6" s="40" t="s">
        <v>129</v>
      </c>
      <c r="E6" s="41" t="s">
        <v>129</v>
      </c>
      <c r="F6" s="39" t="s">
        <v>130</v>
      </c>
      <c r="G6" s="40" t="s">
        <v>130</v>
      </c>
      <c r="H6" s="40" t="s">
        <v>130</v>
      </c>
      <c r="I6" s="40" t="s">
        <v>130</v>
      </c>
      <c r="J6" s="41" t="s">
        <v>130</v>
      </c>
      <c r="K6" s="42" t="s">
        <v>131</v>
      </c>
      <c r="L6" s="39" t="s">
        <v>132</v>
      </c>
      <c r="M6" s="40" t="s">
        <v>132</v>
      </c>
      <c r="N6" s="40" t="s">
        <v>132</v>
      </c>
      <c r="O6" s="40" t="s">
        <v>132</v>
      </c>
      <c r="P6" s="41" t="s">
        <v>132</v>
      </c>
      <c r="Q6" s="39" t="s">
        <v>133</v>
      </c>
      <c r="R6" s="40" t="s">
        <v>133</v>
      </c>
      <c r="S6" s="41" t="s">
        <v>133</v>
      </c>
      <c r="T6" s="43" t="s">
        <v>134</v>
      </c>
      <c r="U6" s="41" t="s">
        <v>135</v>
      </c>
      <c r="X6" s="5">
        <f t="shared" ref="X6:AJ6" si="0">MATCH(X7,DSA_HEADER,0)</f>
        <v>1</v>
      </c>
      <c r="Y6" s="5">
        <f t="shared" si="0"/>
        <v>2</v>
      </c>
      <c r="Z6" s="5">
        <f t="shared" si="0"/>
        <v>3</v>
      </c>
      <c r="AA6" s="5">
        <f t="shared" si="0"/>
        <v>4</v>
      </c>
      <c r="AB6" s="5">
        <f t="shared" si="0"/>
        <v>5</v>
      </c>
      <c r="AC6" s="5">
        <f t="shared" si="0"/>
        <v>38</v>
      </c>
      <c r="AD6" s="5">
        <f t="shared" si="0"/>
        <v>51</v>
      </c>
      <c r="AE6" s="5">
        <f t="shared" si="0"/>
        <v>49</v>
      </c>
      <c r="AF6" s="5">
        <f t="shared" si="0"/>
        <v>36</v>
      </c>
      <c r="AG6" s="5">
        <f t="shared" si="0"/>
        <v>14</v>
      </c>
      <c r="AH6" s="5">
        <f t="shared" si="0"/>
        <v>17</v>
      </c>
      <c r="AI6" s="5">
        <f t="shared" si="0"/>
        <v>18</v>
      </c>
      <c r="AJ6" s="5">
        <f t="shared" si="0"/>
        <v>20</v>
      </c>
      <c r="AK6" s="1"/>
      <c r="AL6" s="5"/>
      <c r="AM6" s="1"/>
    </row>
    <row r="7" spans="1:40" x14ac:dyDescent="0.3">
      <c r="A7" s="44" t="s">
        <v>136</v>
      </c>
      <c r="B7" s="45"/>
      <c r="C7" s="46"/>
      <c r="D7" s="46"/>
      <c r="E7" s="46"/>
      <c r="F7" s="45"/>
      <c r="G7" s="46"/>
      <c r="H7" s="46"/>
      <c r="I7" s="46"/>
      <c r="J7" s="46"/>
      <c r="K7" s="44" t="s">
        <v>139</v>
      </c>
      <c r="L7" s="44" t="s">
        <v>140</v>
      </c>
      <c r="M7" s="46" t="s">
        <v>141</v>
      </c>
      <c r="N7" s="46"/>
      <c r="O7" s="46"/>
      <c r="P7" s="46"/>
      <c r="Q7" s="46"/>
      <c r="R7" s="46"/>
      <c r="S7" s="46"/>
      <c r="T7" s="44" t="s">
        <v>137</v>
      </c>
      <c r="U7" s="47" t="s">
        <v>172</v>
      </c>
      <c r="X7" s="6" t="s">
        <v>1</v>
      </c>
      <c r="Y7" s="6" t="s">
        <v>2</v>
      </c>
      <c r="Z7" s="6" t="s">
        <v>3</v>
      </c>
      <c r="AA7" s="6" t="s">
        <v>4</v>
      </c>
      <c r="AB7" s="6" t="s">
        <v>5</v>
      </c>
      <c r="AC7" s="6" t="s">
        <v>26</v>
      </c>
      <c r="AD7" s="6" t="s">
        <v>151</v>
      </c>
      <c r="AE7" s="6" t="s">
        <v>72</v>
      </c>
      <c r="AF7" s="6" t="s">
        <v>60</v>
      </c>
      <c r="AG7" s="6" t="s">
        <v>14</v>
      </c>
      <c r="AH7" s="6" t="s">
        <v>17</v>
      </c>
      <c r="AI7" s="6" t="s">
        <v>18</v>
      </c>
      <c r="AJ7" s="6" t="s">
        <v>20</v>
      </c>
      <c r="AK7" s="6"/>
      <c r="AL7" s="6"/>
      <c r="AM7" s="6"/>
      <c r="AN7" s="6"/>
    </row>
    <row r="8" spans="1:40" x14ac:dyDescent="0.3">
      <c r="A8" s="48"/>
      <c r="K8" s="48"/>
      <c r="L8" s="48"/>
      <c r="T8" s="50"/>
      <c r="U8" s="49"/>
      <c r="X8" t="str" cm="1">
        <f t="array" ref="X8:AJ27">_xlfn.CHOOSECOLS(_xlfn._xlws.FILTER(DSA,
(LEN(DSA_ID)=9)*
(ISNUMBER(SEARCH(X4,INDEX(DSA,,X6))))*
(ISNUMBER(SEARCH(Y4,INDEX(DSA,,Y6))))*
(ISNUMBER(SEARCH(Z4,INDEX(DSA,,Z6))))*
((ISNUMBER(SEARCH(AA4,INDEX(DSA,,AA6))))+
(ISNUMBER(SEARCH(AA4,INDEX(DSA,,AB6)))))*
(((INDEX(DSA,,AC6)&gt;=AC4)*(INDEX(DSA,,AC6)&lt;=AC5))+
(INDEX(DSA,,AD6)=AD4))*
(ISNUMBER(SEARCH(AE4,INDEX(DSA,,AE6))))*
(ISNUMBER(SEARCH(AF4,INDEX(DSA,,AF6))))
),X6:AJ6)</f>
        <v>T2345670X</v>
      </c>
      <c r="Y8" t="str">
        <v>STUDENT 1</v>
      </c>
      <c r="Z8" t="str">
        <v>Greenview Primary</v>
      </c>
      <c r="AA8" t="str">
        <v>Art</v>
      </c>
      <c r="AB8" t="str">
        <v>Debate</v>
      </c>
      <c r="AC8">
        <v>62</v>
      </c>
      <c r="AD8" t="str">
        <v>Yes</v>
      </c>
      <c r="AE8" t="str">
        <v>Very Good</v>
      </c>
      <c r="AF8" t="str">
        <v>Very Good</v>
      </c>
      <c r="AG8" t="str">
        <v>parent1@example.com</v>
      </c>
      <c r="AH8" t="str">
        <v>guardian1@example.com</v>
      </c>
      <c r="AI8" t="str">
        <v>Mr STUDENT</v>
      </c>
      <c r="AJ8" t="str">
        <v>Mrs STUDENT</v>
      </c>
    </row>
    <row r="9" spans="1:40" x14ac:dyDescent="0.3">
      <c r="A9" s="48"/>
      <c r="K9" s="48"/>
      <c r="L9" s="48"/>
      <c r="T9" s="50"/>
      <c r="U9" s="49"/>
      <c r="X9" t="str">
        <v>T2345671X</v>
      </c>
      <c r="Y9" t="str">
        <v>STUDENT 2</v>
      </c>
      <c r="Z9" t="str">
        <v>Greenview Primary</v>
      </c>
      <c r="AA9" t="str">
        <v>Choir</v>
      </c>
      <c r="AB9" t="str">
        <v>Track &amp; Field</v>
      </c>
      <c r="AC9">
        <v>68</v>
      </c>
      <c r="AD9" t="str">
        <v>Yes</v>
      </c>
      <c r="AE9" t="str">
        <v>Good</v>
      </c>
      <c r="AF9" t="str">
        <v>Excellent</v>
      </c>
      <c r="AG9" t="str">
        <v>parent2@example.com</v>
      </c>
      <c r="AH9" t="str">
        <v>guardian2@example.com</v>
      </c>
      <c r="AI9" t="str">
        <v>Mr STUDENT</v>
      </c>
      <c r="AJ9" t="str">
        <v>Mrs STUDENT</v>
      </c>
    </row>
    <row r="10" spans="1:40" x14ac:dyDescent="0.3">
      <c r="A10" s="48"/>
      <c r="K10" s="48"/>
      <c r="L10" s="48"/>
      <c r="T10" s="50"/>
      <c r="U10" s="49"/>
      <c r="X10" t="str">
        <v>T2345672X</v>
      </c>
      <c r="Y10" t="str">
        <v>STUDENT 3</v>
      </c>
      <c r="Z10" t="str">
        <v>Sunshine Primary</v>
      </c>
      <c r="AA10" t="str">
        <v>Choir</v>
      </c>
      <c r="AB10" t="str">
        <v>Debate</v>
      </c>
      <c r="AC10">
        <v>64</v>
      </c>
      <c r="AD10" t="str">
        <v>Yes</v>
      </c>
      <c r="AE10" t="str">
        <v>Very Good</v>
      </c>
      <c r="AF10" t="str">
        <v>Very Good</v>
      </c>
      <c r="AG10" t="str">
        <v>parent3@example.com</v>
      </c>
      <c r="AH10" t="str">
        <v>guardian3@example.com</v>
      </c>
      <c r="AI10" t="str">
        <v>Mr STUDENT</v>
      </c>
      <c r="AJ10" t="str">
        <v>Mrs STUDENT</v>
      </c>
    </row>
    <row r="11" spans="1:40" x14ac:dyDescent="0.3">
      <c r="A11" s="48"/>
      <c r="K11" s="48"/>
      <c r="L11" s="48"/>
      <c r="T11" s="50"/>
      <c r="U11" s="49"/>
      <c r="X11" t="str">
        <v>T2345673X</v>
      </c>
      <c r="Y11" t="str">
        <v>STUDENT 4</v>
      </c>
      <c r="Z11" t="str">
        <v>Greenview Primary</v>
      </c>
      <c r="AA11" t="str">
        <v>Science</v>
      </c>
      <c r="AB11" t="str">
        <v>Debate</v>
      </c>
      <c r="AC11">
        <v>67</v>
      </c>
      <c r="AD11" t="str">
        <v>Yes</v>
      </c>
      <c r="AE11" t="str">
        <v>Good</v>
      </c>
      <c r="AF11" t="str">
        <v>Excellent</v>
      </c>
      <c r="AG11" t="str">
        <v>parent4@example.com</v>
      </c>
      <c r="AH11" t="str">
        <v>guardian4@example.com</v>
      </c>
      <c r="AI11" t="str">
        <v>Mr STUDENT</v>
      </c>
      <c r="AJ11" t="str">
        <v>Mrs STUDENT</v>
      </c>
    </row>
    <row r="12" spans="1:40" x14ac:dyDescent="0.3">
      <c r="A12" s="48"/>
      <c r="K12" s="48"/>
      <c r="L12" s="48"/>
      <c r="T12" s="50"/>
      <c r="U12" s="49"/>
      <c r="X12" t="str">
        <v>T2345674X</v>
      </c>
      <c r="Y12" t="str">
        <v>STUDENT 5</v>
      </c>
      <c r="Z12" t="str">
        <v>Sunshine Primary</v>
      </c>
      <c r="AA12" t="str">
        <v>Robotics</v>
      </c>
      <c r="AB12" t="str">
        <v/>
      </c>
      <c r="AC12">
        <v>88</v>
      </c>
      <c r="AD12" t="str">
        <v>Yes</v>
      </c>
      <c r="AE12" t="str">
        <v>Very Good</v>
      </c>
      <c r="AF12" t="str">
        <v>Good</v>
      </c>
      <c r="AG12" t="str">
        <v>parent5@example.com</v>
      </c>
      <c r="AH12" t="str">
        <v>guardian5@example.com</v>
      </c>
      <c r="AI12" t="str">
        <v>Mr STUDENT</v>
      </c>
      <c r="AJ12" t="str">
        <v>Mrs STUDENT</v>
      </c>
    </row>
    <row r="13" spans="1:40" x14ac:dyDescent="0.3">
      <c r="A13" s="48"/>
      <c r="K13" s="48"/>
      <c r="L13" s="48"/>
      <c r="T13" s="50"/>
      <c r="U13" s="49"/>
      <c r="X13" t="str">
        <v>T2345675X</v>
      </c>
      <c r="Y13" t="str">
        <v>STUDENT 6</v>
      </c>
      <c r="Z13" t="str">
        <v>Sunshine Primary</v>
      </c>
      <c r="AA13" t="str">
        <v>Science</v>
      </c>
      <c r="AB13" t="str">
        <v>Drama</v>
      </c>
      <c r="AC13">
        <v>74</v>
      </c>
      <c r="AD13" t="str">
        <v>Yes</v>
      </c>
      <c r="AE13" t="str">
        <v>Good</v>
      </c>
      <c r="AF13" t="str">
        <v>Very Good</v>
      </c>
      <c r="AG13" t="str">
        <v>parent6@example.com</v>
      </c>
      <c r="AH13" t="str">
        <v>guardian6@example.com</v>
      </c>
      <c r="AI13" t="str">
        <v>Mr STUDENT</v>
      </c>
      <c r="AJ13" t="str">
        <v>Mrs STUDENT</v>
      </c>
    </row>
    <row r="14" spans="1:40" x14ac:dyDescent="0.3">
      <c r="A14" s="48"/>
      <c r="K14" s="48"/>
      <c r="L14" s="48"/>
      <c r="T14" s="50"/>
      <c r="U14" s="49"/>
      <c r="X14" t="str">
        <v>T2345676X</v>
      </c>
      <c r="Y14" t="str">
        <v>STUDENT 7</v>
      </c>
      <c r="Z14" t="str">
        <v>Greenview Primary</v>
      </c>
      <c r="AA14" t="str">
        <v>Badminton</v>
      </c>
      <c r="AB14" t="str">
        <v/>
      </c>
      <c r="AC14">
        <v>63</v>
      </c>
      <c r="AD14" t="str">
        <v>Yes</v>
      </c>
      <c r="AE14" t="str">
        <v>Very Good</v>
      </c>
      <c r="AF14" t="str">
        <v>Very Good</v>
      </c>
      <c r="AG14" t="str">
        <v>parent7@example.com</v>
      </c>
      <c r="AH14" t="str">
        <v>guardian7@example.com</v>
      </c>
      <c r="AI14" t="str">
        <v>Mr STUDENT</v>
      </c>
      <c r="AJ14" t="str">
        <v>Mrs STUDENT</v>
      </c>
    </row>
    <row r="15" spans="1:40" x14ac:dyDescent="0.3">
      <c r="A15" s="48"/>
      <c r="K15" s="48"/>
      <c r="L15" s="48"/>
      <c r="T15" s="50"/>
      <c r="U15" s="49"/>
      <c r="X15" t="str">
        <v>T2345677X</v>
      </c>
      <c r="Y15" t="str">
        <v>STUDENT 8</v>
      </c>
      <c r="Z15" t="str">
        <v>Greenview Primary</v>
      </c>
      <c r="AA15" t="str">
        <v>Badminton</v>
      </c>
      <c r="AB15" t="str">
        <v>Debate</v>
      </c>
      <c r="AC15">
        <v>90</v>
      </c>
      <c r="AD15" t="str">
        <v>Yes</v>
      </c>
      <c r="AE15" t="str">
        <v>Excellent</v>
      </c>
      <c r="AF15" t="str">
        <v>Good</v>
      </c>
      <c r="AG15" t="str">
        <v>parent8@example.com</v>
      </c>
      <c r="AH15" t="str">
        <v>guardian8@example.com</v>
      </c>
      <c r="AI15" t="str">
        <v>Mr STUDENT</v>
      </c>
      <c r="AJ15" t="str">
        <v>Mrs STUDENT</v>
      </c>
    </row>
    <row r="16" spans="1:40" x14ac:dyDescent="0.3">
      <c r="A16" s="48"/>
      <c r="K16" s="48"/>
      <c r="L16" s="48"/>
      <c r="T16" s="50"/>
      <c r="U16" s="49"/>
      <c r="X16" t="str">
        <v>T2345678X</v>
      </c>
      <c r="Y16" t="str">
        <v>STUDENT 9</v>
      </c>
      <c r="Z16" t="str">
        <v>Greenview Primary</v>
      </c>
      <c r="AA16" t="str">
        <v>Badminton</v>
      </c>
      <c r="AB16" t="str">
        <v/>
      </c>
      <c r="AC16">
        <v>87</v>
      </c>
      <c r="AD16" t="str">
        <v>Yes</v>
      </c>
      <c r="AE16" t="str">
        <v>Good</v>
      </c>
      <c r="AF16" t="str">
        <v>Excellent</v>
      </c>
      <c r="AG16" t="str">
        <v>parent9@example.com</v>
      </c>
      <c r="AH16" t="str">
        <v>guardian9@example.com</v>
      </c>
      <c r="AI16" t="str">
        <v>Mr STUDENT</v>
      </c>
      <c r="AJ16" t="str">
        <v>Mrs STUDENT</v>
      </c>
    </row>
    <row r="17" spans="1:36" x14ac:dyDescent="0.3">
      <c r="A17" s="48"/>
      <c r="K17" s="48"/>
      <c r="L17" s="48"/>
      <c r="T17" s="50"/>
      <c r="U17" s="49"/>
      <c r="X17" t="str">
        <v>T2345679X</v>
      </c>
      <c r="Y17" t="str">
        <v>STUDENT 10</v>
      </c>
      <c r="Z17" t="str">
        <v>Greenview Primary</v>
      </c>
      <c r="AA17" t="str">
        <v>Choir</v>
      </c>
      <c r="AB17" t="str">
        <v>Drama</v>
      </c>
      <c r="AC17">
        <v>70</v>
      </c>
      <c r="AD17" t="str">
        <v>Yes</v>
      </c>
      <c r="AE17" t="str">
        <v>Excellent</v>
      </c>
      <c r="AF17" t="str">
        <v>Very Good</v>
      </c>
      <c r="AG17" t="str">
        <v>parent10@example.com</v>
      </c>
      <c r="AH17" t="str">
        <v>guardian10@example.com</v>
      </c>
      <c r="AI17" t="str">
        <v>Mr STUDENT</v>
      </c>
      <c r="AJ17" t="str">
        <v>Mrs STUDENT</v>
      </c>
    </row>
    <row r="18" spans="1:36" x14ac:dyDescent="0.3">
      <c r="A18" s="48"/>
      <c r="K18" s="48"/>
      <c r="L18" s="48"/>
      <c r="T18" s="50"/>
      <c r="U18" s="49"/>
      <c r="X18" t="str">
        <v>T2345680X</v>
      </c>
      <c r="Y18" t="str">
        <v>STUDENT 11</v>
      </c>
      <c r="Z18" t="str">
        <v>Riverside Primary</v>
      </c>
      <c r="AA18" t="str">
        <v>Choir</v>
      </c>
      <c r="AB18" t="str">
        <v>Debate</v>
      </c>
      <c r="AC18">
        <v>80</v>
      </c>
      <c r="AD18" t="str">
        <v>Yes</v>
      </c>
      <c r="AE18" t="str">
        <v>Excellent</v>
      </c>
      <c r="AF18" t="str">
        <v>Very Good</v>
      </c>
      <c r="AG18" t="str">
        <v>parent11@example.com</v>
      </c>
      <c r="AH18" t="str">
        <v>guardian11@example.com</v>
      </c>
      <c r="AI18" t="str">
        <v>Mr STUDENT</v>
      </c>
      <c r="AJ18" t="str">
        <v>Mrs STUDENT</v>
      </c>
    </row>
    <row r="19" spans="1:36" x14ac:dyDescent="0.3">
      <c r="A19" s="48"/>
      <c r="K19" s="48"/>
      <c r="L19" s="48"/>
      <c r="T19" s="50"/>
      <c r="U19" s="49"/>
      <c r="X19" t="str">
        <v>T2345681X</v>
      </c>
      <c r="Y19" t="str">
        <v>STUDENT 12</v>
      </c>
      <c r="Z19" t="str">
        <v>Riverside Primary</v>
      </c>
      <c r="AA19" t="str">
        <v>Robotics</v>
      </c>
      <c r="AB19" t="str">
        <v>Debate</v>
      </c>
      <c r="AC19">
        <v>82</v>
      </c>
      <c r="AD19" t="str">
        <v>Yes</v>
      </c>
      <c r="AE19" t="str">
        <v>Very Good</v>
      </c>
      <c r="AF19" t="str">
        <v>Good</v>
      </c>
      <c r="AG19" t="str">
        <v>parent12@example.com</v>
      </c>
      <c r="AH19" t="str">
        <v>guardian12@example.com</v>
      </c>
      <c r="AI19" t="str">
        <v>Mr STUDENT</v>
      </c>
      <c r="AJ19" t="str">
        <v>Mrs STUDENT</v>
      </c>
    </row>
    <row r="20" spans="1:36" x14ac:dyDescent="0.3">
      <c r="A20" s="48"/>
      <c r="K20" s="48"/>
      <c r="L20" s="48"/>
      <c r="T20" s="50"/>
      <c r="U20" s="49"/>
      <c r="X20" t="str">
        <v>T2345682X</v>
      </c>
      <c r="Y20" t="str">
        <v>STUDENT 13</v>
      </c>
      <c r="Z20" t="str">
        <v>Greenview Primary</v>
      </c>
      <c r="AA20" t="str">
        <v>Robotics</v>
      </c>
      <c r="AB20" t="str">
        <v>Drama</v>
      </c>
      <c r="AC20">
        <v>77</v>
      </c>
      <c r="AD20" t="str">
        <v>Yes</v>
      </c>
      <c r="AE20" t="str">
        <v>Good</v>
      </c>
      <c r="AF20" t="str">
        <v>Excellent</v>
      </c>
      <c r="AG20" t="str">
        <v>parent13@example.com</v>
      </c>
      <c r="AH20" t="str">
        <v>guardian13@example.com</v>
      </c>
      <c r="AI20" t="str">
        <v>Mr STUDENT</v>
      </c>
      <c r="AJ20" t="str">
        <v>Mrs STUDENT</v>
      </c>
    </row>
    <row r="21" spans="1:36" x14ac:dyDescent="0.3">
      <c r="A21" s="48"/>
      <c r="K21" s="48"/>
      <c r="L21" s="48"/>
      <c r="T21" s="50"/>
      <c r="U21" s="49"/>
      <c r="X21" t="str">
        <v>T2345683X</v>
      </c>
      <c r="Y21" t="str">
        <v>STUDENT 14</v>
      </c>
      <c r="Z21" t="str">
        <v>Sunshine Primary</v>
      </c>
      <c r="AA21" t="str">
        <v>Robotics</v>
      </c>
      <c r="AB21" t="str">
        <v>Debate</v>
      </c>
      <c r="AC21">
        <v>82</v>
      </c>
      <c r="AD21" t="str">
        <v>Yes</v>
      </c>
      <c r="AE21" t="str">
        <v>Very Good</v>
      </c>
      <c r="AF21" t="str">
        <v>Very Good</v>
      </c>
      <c r="AG21" t="str">
        <v>parent14@example.com</v>
      </c>
      <c r="AH21" t="str">
        <v>guardian14@example.com</v>
      </c>
      <c r="AI21" t="str">
        <v>Mr STUDENT</v>
      </c>
      <c r="AJ21" t="str">
        <v>Mrs STUDENT</v>
      </c>
    </row>
    <row r="22" spans="1:36" x14ac:dyDescent="0.3">
      <c r="A22" s="48"/>
      <c r="K22" s="48"/>
      <c r="L22" s="48"/>
      <c r="T22" s="50"/>
      <c r="U22" s="49"/>
      <c r="X22" t="str">
        <v>T2345684X</v>
      </c>
      <c r="Y22" t="str">
        <v>STUDENT 15</v>
      </c>
      <c r="Z22" t="str">
        <v>Sunshine Primary</v>
      </c>
      <c r="AA22" t="str">
        <v>Art</v>
      </c>
      <c r="AB22" t="str">
        <v>Drama</v>
      </c>
      <c r="AC22">
        <v>89</v>
      </c>
      <c r="AD22" t="str">
        <v>Yes</v>
      </c>
      <c r="AE22" t="str">
        <v>Good</v>
      </c>
      <c r="AF22" t="str">
        <v>Good</v>
      </c>
      <c r="AG22" t="str">
        <v>parent15@example.com</v>
      </c>
      <c r="AH22" t="str">
        <v>guardian15@example.com</v>
      </c>
      <c r="AI22" t="str">
        <v>Mr STUDENT</v>
      </c>
      <c r="AJ22" t="str">
        <v>Mrs STUDENT</v>
      </c>
    </row>
    <row r="23" spans="1:36" x14ac:dyDescent="0.3">
      <c r="A23" s="48"/>
      <c r="K23" s="48"/>
      <c r="L23" s="48"/>
      <c r="T23" s="50"/>
      <c r="U23" s="49"/>
      <c r="X23" t="str">
        <v>T2345685X</v>
      </c>
      <c r="Y23" t="str">
        <v>STUDENT 16</v>
      </c>
      <c r="Z23" t="str">
        <v>Riverside Primary</v>
      </c>
      <c r="AA23" t="str">
        <v>Art</v>
      </c>
      <c r="AB23" t="str">
        <v/>
      </c>
      <c r="AC23">
        <v>79</v>
      </c>
      <c r="AD23" t="str">
        <v>Yes</v>
      </c>
      <c r="AE23" t="str">
        <v>Excellent</v>
      </c>
      <c r="AF23" t="str">
        <v>Good</v>
      </c>
      <c r="AG23" t="str">
        <v>parent16@example.com</v>
      </c>
      <c r="AH23" t="str">
        <v>guardian16@example.com</v>
      </c>
      <c r="AI23" t="str">
        <v>Mr STUDENT</v>
      </c>
      <c r="AJ23" t="str">
        <v>Mrs STUDENT</v>
      </c>
    </row>
    <row r="24" spans="1:36" x14ac:dyDescent="0.3">
      <c r="A24" s="48"/>
      <c r="K24" s="48"/>
      <c r="L24" s="48"/>
      <c r="T24" s="50"/>
      <c r="U24" s="49"/>
      <c r="X24" t="str">
        <v>T2345686X</v>
      </c>
      <c r="Y24" t="str">
        <v>STUDENT 17</v>
      </c>
      <c r="Z24" t="str">
        <v>Greenview Primary</v>
      </c>
      <c r="AA24" t="str">
        <v>Science</v>
      </c>
      <c r="AB24" t="str">
        <v>Track &amp; Field</v>
      </c>
      <c r="AC24">
        <v>84</v>
      </c>
      <c r="AD24" t="str">
        <v>Yes</v>
      </c>
      <c r="AE24" t="str">
        <v>Excellent</v>
      </c>
      <c r="AF24" t="str">
        <v>Good</v>
      </c>
      <c r="AG24" t="str">
        <v>parent17@example.com</v>
      </c>
      <c r="AH24" t="str">
        <v>guardian17@example.com</v>
      </c>
      <c r="AI24" t="str">
        <v>Mr STUDENT</v>
      </c>
      <c r="AJ24" t="str">
        <v>Mrs STUDENT</v>
      </c>
    </row>
    <row r="25" spans="1:36" x14ac:dyDescent="0.3">
      <c r="A25" s="48"/>
      <c r="K25" s="48"/>
      <c r="L25" s="48"/>
      <c r="T25" s="50"/>
      <c r="U25" s="49"/>
      <c r="X25" t="str">
        <v>T2345687X</v>
      </c>
      <c r="Y25" t="str">
        <v>STUDENT 18</v>
      </c>
      <c r="Z25" t="str">
        <v>Sunshine Primary</v>
      </c>
      <c r="AA25" t="str">
        <v>Robotics</v>
      </c>
      <c r="AB25" t="str">
        <v>Drama</v>
      </c>
      <c r="AC25">
        <v>64</v>
      </c>
      <c r="AD25" t="str">
        <v>Yes</v>
      </c>
      <c r="AE25" t="str">
        <v>Excellent</v>
      </c>
      <c r="AF25" t="str">
        <v>Excellent</v>
      </c>
      <c r="AG25" t="str">
        <v>parent18@example.com</v>
      </c>
      <c r="AH25" t="str">
        <v>guardian18@example.com</v>
      </c>
      <c r="AI25" t="str">
        <v>Mr STUDENT</v>
      </c>
      <c r="AJ25" t="str">
        <v>Mrs STUDENT</v>
      </c>
    </row>
    <row r="26" spans="1:36" x14ac:dyDescent="0.3">
      <c r="A26" s="48"/>
      <c r="K26" s="48"/>
      <c r="L26" s="48"/>
      <c r="T26" s="50"/>
      <c r="U26" s="49"/>
      <c r="X26" t="str">
        <v>T2345688X</v>
      </c>
      <c r="Y26" t="str">
        <v>STUDENT 19</v>
      </c>
      <c r="Z26" t="str">
        <v>Riverside Primary</v>
      </c>
      <c r="AA26" t="str">
        <v>Badminton</v>
      </c>
      <c r="AB26" t="str">
        <v/>
      </c>
      <c r="AC26">
        <v>81</v>
      </c>
      <c r="AD26" t="str">
        <v>Yes</v>
      </c>
      <c r="AE26" t="str">
        <v>Good</v>
      </c>
      <c r="AF26" t="str">
        <v>Very Good</v>
      </c>
      <c r="AG26" t="str">
        <v>parent19@example.com</v>
      </c>
      <c r="AH26" t="str">
        <v>guardian19@example.com</v>
      </c>
      <c r="AI26" t="str">
        <v>Mr STUDENT</v>
      </c>
      <c r="AJ26" t="str">
        <v>Mrs STUDENT</v>
      </c>
    </row>
    <row r="27" spans="1:36" x14ac:dyDescent="0.3">
      <c r="A27" s="48"/>
      <c r="K27" s="48"/>
      <c r="L27" s="48"/>
      <c r="T27" s="50"/>
      <c r="U27" s="49"/>
      <c r="X27" t="str">
        <v>T2345689X</v>
      </c>
      <c r="Y27" t="str">
        <v>STUDENT 20</v>
      </c>
      <c r="Z27" t="str">
        <v>Greenview Primary</v>
      </c>
      <c r="AA27" t="str">
        <v>Badminton</v>
      </c>
      <c r="AB27" t="str">
        <v/>
      </c>
      <c r="AC27">
        <v>79</v>
      </c>
      <c r="AD27" t="str">
        <v>Yes</v>
      </c>
      <c r="AE27" t="str">
        <v>Very Good</v>
      </c>
      <c r="AF27" t="str">
        <v>Excellent</v>
      </c>
      <c r="AG27" t="str">
        <v>parent20@example.com</v>
      </c>
      <c r="AH27" t="str">
        <v>guardian20@example.com</v>
      </c>
      <c r="AI27" t="str">
        <v>Mr STUDENT</v>
      </c>
      <c r="AJ27" t="str">
        <v>Mrs STUDENT</v>
      </c>
    </row>
    <row r="28" spans="1:36" x14ac:dyDescent="0.3">
      <c r="A28" s="48"/>
      <c r="K28" s="48"/>
      <c r="L28" s="48"/>
      <c r="T28" s="50"/>
      <c r="U28" s="49"/>
    </row>
    <row r="29" spans="1:36" x14ac:dyDescent="0.3">
      <c r="A29" s="48"/>
      <c r="K29" s="48"/>
      <c r="L29" s="48"/>
      <c r="T29" s="50"/>
      <c r="U29" s="49"/>
    </row>
    <row r="30" spans="1:36" x14ac:dyDescent="0.3">
      <c r="A30" s="48"/>
      <c r="K30" s="48"/>
      <c r="L30" s="48"/>
      <c r="T30" s="50"/>
      <c r="U30" s="49"/>
    </row>
    <row r="31" spans="1:36" x14ac:dyDescent="0.3">
      <c r="A31" s="48"/>
      <c r="K31" s="48"/>
      <c r="L31" s="48"/>
      <c r="T31" s="50"/>
      <c r="U31" s="49"/>
    </row>
    <row r="32" spans="1:36" x14ac:dyDescent="0.3">
      <c r="A32" s="48"/>
      <c r="K32" s="48"/>
      <c r="L32" s="48"/>
      <c r="T32" s="50"/>
      <c r="U32" s="49"/>
    </row>
    <row r="33" spans="1:21" x14ac:dyDescent="0.3">
      <c r="A33" s="48"/>
      <c r="K33" s="48"/>
      <c r="L33" s="48"/>
      <c r="T33" s="50"/>
      <c r="U33" s="49"/>
    </row>
    <row r="34" spans="1:21" x14ac:dyDescent="0.3">
      <c r="A34" s="48"/>
      <c r="K34" s="48"/>
      <c r="L34" s="48"/>
      <c r="T34" s="50"/>
      <c r="U34" s="49"/>
    </row>
    <row r="35" spans="1:21" x14ac:dyDescent="0.3">
      <c r="A35" s="48"/>
      <c r="K35" s="48"/>
      <c r="L35" s="48"/>
      <c r="T35" s="50"/>
      <c r="U35" s="49"/>
    </row>
    <row r="36" spans="1:21" x14ac:dyDescent="0.3">
      <c r="A36" s="48"/>
      <c r="K36" s="48"/>
      <c r="L36" s="48"/>
      <c r="T36" s="50"/>
      <c r="U36" s="49"/>
    </row>
    <row r="37" spans="1:21" x14ac:dyDescent="0.3">
      <c r="A37" s="48"/>
      <c r="K37" s="48"/>
      <c r="L37" s="48"/>
      <c r="T37" s="50"/>
      <c r="U37" s="49"/>
    </row>
    <row r="38" spans="1:21" x14ac:dyDescent="0.3">
      <c r="A38" s="48"/>
      <c r="K38" s="48"/>
      <c r="L38" s="48"/>
      <c r="T38" s="50"/>
      <c r="U38" s="49"/>
    </row>
    <row r="39" spans="1:21" x14ac:dyDescent="0.3">
      <c r="A39" s="48"/>
      <c r="K39" s="48"/>
      <c r="L39" s="48"/>
      <c r="T39" s="50"/>
      <c r="U39" s="49"/>
    </row>
    <row r="40" spans="1:21" x14ac:dyDescent="0.3">
      <c r="A40" s="48"/>
      <c r="K40" s="48"/>
      <c r="L40" s="48"/>
      <c r="T40" s="50"/>
      <c r="U40" s="49"/>
    </row>
    <row r="41" spans="1:21" x14ac:dyDescent="0.3">
      <c r="A41" s="48"/>
      <c r="K41" s="48"/>
      <c r="L41" s="48"/>
      <c r="T41" s="50"/>
      <c r="U41" s="49"/>
    </row>
    <row r="42" spans="1:21" x14ac:dyDescent="0.3">
      <c r="A42" s="48"/>
      <c r="K42" s="48"/>
      <c r="L42" s="48"/>
      <c r="T42" s="50"/>
      <c r="U42" s="49"/>
    </row>
    <row r="43" spans="1:21" x14ac:dyDescent="0.3">
      <c r="A43" s="48"/>
      <c r="K43" s="48"/>
      <c r="L43" s="48"/>
      <c r="T43" s="50"/>
      <c r="U43" s="49"/>
    </row>
    <row r="44" spans="1:21" x14ac:dyDescent="0.3">
      <c r="A44" s="48"/>
      <c r="K44" s="48"/>
      <c r="L44" s="48"/>
      <c r="T44" s="50"/>
      <c r="U44" s="49"/>
    </row>
    <row r="45" spans="1:21" x14ac:dyDescent="0.3">
      <c r="A45" s="48"/>
      <c r="K45" s="48"/>
      <c r="L45" s="48"/>
      <c r="T45" s="50"/>
      <c r="U45" s="49"/>
    </row>
    <row r="46" spans="1:21" x14ac:dyDescent="0.3">
      <c r="A46" s="48"/>
      <c r="K46" s="48"/>
      <c r="L46" s="48"/>
      <c r="T46" s="50"/>
      <c r="U46" s="49"/>
    </row>
    <row r="47" spans="1:21" x14ac:dyDescent="0.3">
      <c r="A47" s="48"/>
      <c r="K47" s="48"/>
      <c r="L47" s="48"/>
      <c r="T47" s="50"/>
      <c r="U47" s="49"/>
    </row>
    <row r="48" spans="1:21" x14ac:dyDescent="0.3">
      <c r="A48" s="48"/>
      <c r="K48" s="48"/>
      <c r="L48" s="48"/>
      <c r="T48" s="50"/>
      <c r="U48" s="49"/>
    </row>
    <row r="49" spans="1:21" x14ac:dyDescent="0.3">
      <c r="A49" s="48"/>
      <c r="K49" s="48"/>
      <c r="L49" s="48"/>
      <c r="T49" s="50"/>
      <c r="U49" s="49"/>
    </row>
    <row r="50" spans="1:21" x14ac:dyDescent="0.3">
      <c r="A50" s="48"/>
      <c r="K50" s="48"/>
      <c r="L50" s="48"/>
      <c r="T50" s="50"/>
      <c r="U50" s="49"/>
    </row>
    <row r="51" spans="1:21" x14ac:dyDescent="0.3">
      <c r="A51" s="48"/>
      <c r="K51" s="48"/>
      <c r="L51" s="48"/>
      <c r="T51" s="50"/>
      <c r="U51" s="49"/>
    </row>
    <row r="52" spans="1:21" x14ac:dyDescent="0.3">
      <c r="A52" s="48"/>
      <c r="K52" s="48"/>
      <c r="L52" s="48"/>
      <c r="T52" s="50"/>
      <c r="U52" s="49"/>
    </row>
    <row r="53" spans="1:21" x14ac:dyDescent="0.3">
      <c r="A53" s="48"/>
      <c r="K53" s="48"/>
      <c r="L53" s="48"/>
      <c r="T53" s="50"/>
      <c r="U53" s="49"/>
    </row>
    <row r="54" spans="1:21" x14ac:dyDescent="0.3">
      <c r="A54" s="48"/>
      <c r="K54" s="48"/>
      <c r="L54" s="48"/>
      <c r="T54" s="50"/>
      <c r="U54" s="49"/>
    </row>
    <row r="55" spans="1:21" x14ac:dyDescent="0.3">
      <c r="A55" s="48"/>
      <c r="K55" s="48"/>
      <c r="L55" s="48"/>
      <c r="T55" s="50"/>
      <c r="U55" s="49"/>
    </row>
    <row r="56" spans="1:21" x14ac:dyDescent="0.3">
      <c r="A56" s="48"/>
      <c r="K56" s="48"/>
      <c r="L56" s="48"/>
      <c r="T56" s="50"/>
      <c r="U56" s="49"/>
    </row>
    <row r="57" spans="1:21" x14ac:dyDescent="0.3">
      <c r="A57" s="48"/>
      <c r="K57" s="48"/>
      <c r="L57" s="48"/>
      <c r="T57" s="50"/>
      <c r="U57" s="49"/>
    </row>
    <row r="58" spans="1:21" x14ac:dyDescent="0.3">
      <c r="A58" s="48"/>
      <c r="K58" s="48"/>
      <c r="L58" s="48"/>
      <c r="T58" s="50"/>
      <c r="U58" s="49"/>
    </row>
    <row r="59" spans="1:21" x14ac:dyDescent="0.3">
      <c r="A59" s="48"/>
      <c r="K59" s="48"/>
      <c r="L59" s="48"/>
      <c r="T59" s="50"/>
      <c r="U59" s="49"/>
    </row>
    <row r="60" spans="1:21" x14ac:dyDescent="0.3">
      <c r="A60" s="48"/>
      <c r="K60" s="48"/>
      <c r="L60" s="48"/>
      <c r="T60" s="50"/>
      <c r="U60" s="49"/>
    </row>
    <row r="61" spans="1:21" x14ac:dyDescent="0.3">
      <c r="A61" s="48"/>
      <c r="K61" s="48"/>
      <c r="L61" s="48"/>
      <c r="T61" s="50"/>
      <c r="U61" s="49"/>
    </row>
    <row r="62" spans="1:21" x14ac:dyDescent="0.3">
      <c r="A62" s="48"/>
      <c r="K62" s="48"/>
      <c r="L62" s="48"/>
      <c r="T62" s="50"/>
      <c r="U62" s="49"/>
    </row>
    <row r="63" spans="1:21" x14ac:dyDescent="0.3">
      <c r="A63" s="48"/>
      <c r="K63" s="48"/>
      <c r="L63" s="48"/>
      <c r="T63" s="50"/>
      <c r="U63" s="49"/>
    </row>
    <row r="64" spans="1:21" x14ac:dyDescent="0.3">
      <c r="A64" s="48"/>
      <c r="K64" s="48"/>
      <c r="L64" s="48"/>
      <c r="T64" s="50"/>
      <c r="U64" s="49"/>
    </row>
    <row r="65" spans="1:21" x14ac:dyDescent="0.3">
      <c r="A65" s="48"/>
      <c r="K65" s="48"/>
      <c r="L65" s="48"/>
      <c r="T65" s="50"/>
      <c r="U65" s="49"/>
    </row>
    <row r="66" spans="1:21" x14ac:dyDescent="0.3">
      <c r="A66" s="48"/>
      <c r="K66" s="48"/>
      <c r="L66" s="48"/>
      <c r="T66" s="50"/>
      <c r="U66" s="49"/>
    </row>
    <row r="67" spans="1:21" x14ac:dyDescent="0.3">
      <c r="A67" s="48"/>
      <c r="K67" s="48"/>
      <c r="L67" s="48"/>
      <c r="T67" s="50"/>
      <c r="U67" s="49"/>
    </row>
    <row r="68" spans="1:21" x14ac:dyDescent="0.3">
      <c r="A68" s="48"/>
      <c r="K68" s="48"/>
      <c r="L68" s="48"/>
      <c r="T68" s="50"/>
      <c r="U68" s="49"/>
    </row>
    <row r="69" spans="1:21" x14ac:dyDescent="0.3">
      <c r="A69" s="48"/>
      <c r="K69" s="48"/>
      <c r="L69" s="48"/>
      <c r="T69" s="50"/>
      <c r="U69" s="49"/>
    </row>
    <row r="70" spans="1:21" x14ac:dyDescent="0.3">
      <c r="A70" s="48"/>
      <c r="K70" s="48"/>
      <c r="L70" s="48"/>
      <c r="T70" s="50"/>
      <c r="U70" s="49"/>
    </row>
    <row r="71" spans="1:21" x14ac:dyDescent="0.3">
      <c r="A71" s="48"/>
      <c r="K71" s="48"/>
      <c r="L71" s="48"/>
      <c r="T71" s="50"/>
      <c r="U71" s="49"/>
    </row>
    <row r="72" spans="1:21" x14ac:dyDescent="0.3">
      <c r="A72" s="48"/>
      <c r="K72" s="48"/>
      <c r="L72" s="48"/>
      <c r="T72" s="50"/>
      <c r="U72" s="49"/>
    </row>
    <row r="73" spans="1:21" x14ac:dyDescent="0.3">
      <c r="A73" s="48"/>
      <c r="K73" s="48"/>
      <c r="L73" s="48"/>
      <c r="T73" s="50"/>
      <c r="U73" s="49"/>
    </row>
    <row r="74" spans="1:21" x14ac:dyDescent="0.3">
      <c r="A74" s="48"/>
      <c r="K74" s="48"/>
      <c r="L74" s="48"/>
      <c r="T74" s="50"/>
      <c r="U74" s="49"/>
    </row>
    <row r="75" spans="1:21" x14ac:dyDescent="0.3">
      <c r="A75" s="48"/>
      <c r="K75" s="48"/>
      <c r="L75" s="48"/>
      <c r="T75" s="50"/>
      <c r="U75" s="49"/>
    </row>
    <row r="76" spans="1:21" x14ac:dyDescent="0.3">
      <c r="A76" s="48"/>
      <c r="K76" s="48"/>
      <c r="L76" s="48"/>
      <c r="T76" s="50"/>
      <c r="U76" s="49"/>
    </row>
    <row r="77" spans="1:21" x14ac:dyDescent="0.3">
      <c r="A77" s="48"/>
      <c r="K77" s="48"/>
      <c r="L77" s="48"/>
      <c r="T77" s="50"/>
      <c r="U77" s="49"/>
    </row>
    <row r="78" spans="1:21" x14ac:dyDescent="0.3">
      <c r="A78" s="48"/>
      <c r="K78" s="48"/>
      <c r="L78" s="48"/>
      <c r="T78" s="50"/>
      <c r="U78" s="49"/>
    </row>
    <row r="79" spans="1:21" x14ac:dyDescent="0.3">
      <c r="A79" s="48"/>
      <c r="K79" s="48"/>
      <c r="L79" s="48"/>
      <c r="T79" s="50"/>
      <c r="U79" s="49"/>
    </row>
    <row r="80" spans="1:21" x14ac:dyDescent="0.3">
      <c r="A80" s="48"/>
      <c r="K80" s="48"/>
      <c r="L80" s="48"/>
      <c r="T80" s="50"/>
      <c r="U80" s="49"/>
    </row>
    <row r="81" spans="1:21" x14ac:dyDescent="0.3">
      <c r="A81" s="48"/>
      <c r="K81" s="48"/>
      <c r="L81" s="48"/>
      <c r="T81" s="50"/>
      <c r="U81" s="49"/>
    </row>
    <row r="82" spans="1:21" x14ac:dyDescent="0.3">
      <c r="A82" s="48"/>
      <c r="K82" s="48"/>
      <c r="L82" s="48"/>
      <c r="T82" s="50"/>
      <c r="U82" s="49"/>
    </row>
    <row r="83" spans="1:21" x14ac:dyDescent="0.3">
      <c r="A83" s="48"/>
      <c r="K83" s="48"/>
      <c r="L83" s="48"/>
      <c r="T83" s="50"/>
      <c r="U83" s="49"/>
    </row>
    <row r="84" spans="1:21" x14ac:dyDescent="0.3">
      <c r="A84" s="48"/>
      <c r="K84" s="48"/>
      <c r="L84" s="48"/>
      <c r="T84" s="50"/>
      <c r="U84" s="49"/>
    </row>
    <row r="85" spans="1:21" x14ac:dyDescent="0.3">
      <c r="A85" s="48"/>
      <c r="K85" s="48"/>
      <c r="L85" s="48"/>
      <c r="T85" s="50"/>
      <c r="U85" s="49"/>
    </row>
    <row r="86" spans="1:21" x14ac:dyDescent="0.3">
      <c r="A86" s="48"/>
      <c r="K86" s="48"/>
      <c r="L86" s="48"/>
      <c r="T86" s="50"/>
      <c r="U86" s="49"/>
    </row>
    <row r="87" spans="1:21" x14ac:dyDescent="0.3">
      <c r="A87" s="48"/>
      <c r="K87" s="48"/>
      <c r="L87" s="48"/>
      <c r="T87" s="50"/>
      <c r="U87" s="49"/>
    </row>
    <row r="88" spans="1:21" x14ac:dyDescent="0.3">
      <c r="A88" s="48"/>
      <c r="K88" s="48"/>
      <c r="L88" s="48"/>
      <c r="T88" s="50"/>
      <c r="U88" s="49"/>
    </row>
    <row r="89" spans="1:21" x14ac:dyDescent="0.3">
      <c r="A89" s="48"/>
      <c r="K89" s="48"/>
      <c r="L89" s="48"/>
      <c r="T89" s="50"/>
      <c r="U89" s="49"/>
    </row>
    <row r="90" spans="1:21" x14ac:dyDescent="0.3">
      <c r="A90" s="48"/>
      <c r="K90" s="48"/>
      <c r="L90" s="48"/>
      <c r="T90" s="50"/>
      <c r="U90" s="49"/>
    </row>
    <row r="91" spans="1:21" x14ac:dyDescent="0.3">
      <c r="A91" s="48"/>
      <c r="K91" s="48"/>
      <c r="L91" s="48"/>
      <c r="T91" s="50"/>
      <c r="U91" s="49"/>
    </row>
    <row r="92" spans="1:21" x14ac:dyDescent="0.3">
      <c r="A92" s="48"/>
      <c r="K92" s="48"/>
      <c r="L92" s="48"/>
      <c r="T92" s="50"/>
      <c r="U92" s="49"/>
    </row>
    <row r="93" spans="1:21" x14ac:dyDescent="0.3">
      <c r="A93" s="48"/>
      <c r="K93" s="48"/>
      <c r="L93" s="48"/>
      <c r="T93" s="50"/>
      <c r="U93" s="49"/>
    </row>
    <row r="94" spans="1:21" x14ac:dyDescent="0.3">
      <c r="A94" s="48"/>
      <c r="K94" s="48"/>
      <c r="L94" s="48"/>
      <c r="T94" s="50"/>
      <c r="U94" s="49"/>
    </row>
    <row r="95" spans="1:21" x14ac:dyDescent="0.3">
      <c r="A95" s="48"/>
      <c r="K95" s="48"/>
      <c r="L95" s="48"/>
      <c r="T95" s="50"/>
      <c r="U95" s="49"/>
    </row>
    <row r="96" spans="1:21" x14ac:dyDescent="0.3">
      <c r="A96" s="48"/>
      <c r="K96" s="48"/>
      <c r="L96" s="48"/>
      <c r="T96" s="50"/>
      <c r="U96" s="49"/>
    </row>
    <row r="97" spans="1:21" x14ac:dyDescent="0.3">
      <c r="A97" s="48"/>
      <c r="K97" s="48"/>
      <c r="L97" s="48"/>
      <c r="T97" s="50"/>
      <c r="U97" s="49"/>
    </row>
    <row r="98" spans="1:21" x14ac:dyDescent="0.3">
      <c r="A98" s="48"/>
      <c r="K98" s="48"/>
      <c r="L98" s="48"/>
      <c r="T98" s="50"/>
      <c r="U98" s="49"/>
    </row>
    <row r="99" spans="1:21" x14ac:dyDescent="0.3">
      <c r="A99" s="48"/>
      <c r="K99" s="48"/>
      <c r="L99" s="48"/>
      <c r="T99" s="50"/>
      <c r="U99" s="49"/>
    </row>
    <row r="100" spans="1:21" x14ac:dyDescent="0.3">
      <c r="A100" s="48"/>
      <c r="K100" s="48"/>
      <c r="L100" s="48"/>
      <c r="T100" s="50"/>
      <c r="U100" s="49"/>
    </row>
  </sheetData>
  <mergeCells count="3">
    <mergeCell ref="A1:U1"/>
    <mergeCell ref="Y1:AJ1"/>
    <mergeCell ref="AA4:AB4"/>
  </mergeCells>
  <dataValidations count="1">
    <dataValidation type="list" allowBlank="1" showInputMessage="1" showErrorMessage="1" sqref="T7:T100" xr:uid="{417150EB-3BBE-47C9-97D6-85B79CC654F4}">
      <formula1>$T$3:$T$4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rgeToOutlook.MergeToOutlook">
                <anchor moveWithCells="1" sizeWithCells="1">
                  <from>
                    <xdr:col>2</xdr:col>
                    <xdr:colOff>266700</xdr:colOff>
                    <xdr:row>1</xdr:row>
                    <xdr:rowOff>68580</xdr:rowOff>
                  </from>
                  <to>
                    <xdr:col>4</xdr:col>
                    <xdr:colOff>403860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3A58-CEC5-4C80-BF5E-9995C6387879}">
  <sheetPr codeName="Sheet1">
    <tabColor theme="9"/>
  </sheetPr>
  <dimension ref="A1:AZ21"/>
  <sheetViews>
    <sheetView topLeftCell="W1" workbookViewId="0">
      <selection activeCell="F19" sqref="F19"/>
    </sheetView>
  </sheetViews>
  <sheetFormatPr defaultRowHeight="14.4" x14ac:dyDescent="0.3"/>
  <cols>
    <col min="1" max="1" width="16.109375" bestFit="1" customWidth="1"/>
    <col min="2" max="2" width="28.21875" bestFit="1" customWidth="1"/>
    <col min="3" max="3" width="24.5546875" bestFit="1" customWidth="1"/>
    <col min="4" max="5" width="18.77734375" bestFit="1" customWidth="1"/>
    <col min="6" max="6" width="15" bestFit="1" customWidth="1"/>
    <col min="7" max="7" width="15.88671875" bestFit="1" customWidth="1"/>
    <col min="8" max="8" width="6.33203125" bestFit="1" customWidth="1"/>
    <col min="9" max="9" width="14" bestFit="1" customWidth="1"/>
    <col min="10" max="10" width="19.44140625" bestFit="1" customWidth="1"/>
    <col min="11" max="11" width="14.88671875" bestFit="1" customWidth="1"/>
    <col min="12" max="12" width="22.6640625" bestFit="1" customWidth="1"/>
    <col min="13" max="13" width="32.44140625" bestFit="1" customWidth="1"/>
    <col min="14" max="14" width="31.21875" bestFit="1" customWidth="1"/>
    <col min="15" max="15" width="27.77734375" bestFit="1" customWidth="1"/>
    <col min="16" max="16" width="37.88671875" bestFit="1" customWidth="1"/>
    <col min="17" max="17" width="36.33203125" bestFit="1" customWidth="1"/>
    <col min="18" max="18" width="15.5546875" bestFit="1" customWidth="1"/>
    <col min="19" max="19" width="18.33203125" bestFit="1" customWidth="1"/>
    <col min="20" max="20" width="16.5546875" bestFit="1" customWidth="1"/>
    <col min="21" max="21" width="19.44140625" bestFit="1" customWidth="1"/>
    <col min="22" max="22" width="17.77734375" bestFit="1" customWidth="1"/>
    <col min="23" max="23" width="20.33203125" bestFit="1" customWidth="1"/>
    <col min="24" max="24" width="28.5546875" bestFit="1" customWidth="1"/>
    <col min="25" max="25" width="15.44140625" bestFit="1" customWidth="1"/>
    <col min="26" max="26" width="8.21875" bestFit="1" customWidth="1"/>
    <col min="27" max="27" width="15.5546875" bestFit="1" customWidth="1"/>
    <col min="28" max="28" width="12.5546875" bestFit="1" customWidth="1"/>
    <col min="29" max="29" width="20" bestFit="1" customWidth="1"/>
    <col min="30" max="30" width="9" bestFit="1" customWidth="1"/>
    <col min="31" max="31" width="16.33203125" bestFit="1" customWidth="1"/>
    <col min="32" max="32" width="9.109375" bestFit="1" customWidth="1"/>
    <col min="33" max="33" width="16.44140625" bestFit="1" customWidth="1"/>
    <col min="34" max="34" width="10.33203125" bestFit="1" customWidth="1"/>
    <col min="35" max="35" width="17.6640625" bestFit="1" customWidth="1"/>
    <col min="36" max="36" width="14.77734375" bestFit="1" customWidth="1"/>
    <col min="37" max="37" width="16.44140625" bestFit="1" customWidth="1"/>
    <col min="38" max="38" width="15.44140625" bestFit="1" customWidth="1"/>
    <col min="39" max="39" width="8.21875" bestFit="1" customWidth="1"/>
    <col min="40" max="40" width="15.5546875" bestFit="1" customWidth="1"/>
    <col min="41" max="41" width="12.5546875" bestFit="1" customWidth="1"/>
    <col min="42" max="42" width="20" bestFit="1" customWidth="1"/>
    <col min="43" max="43" width="9" bestFit="1" customWidth="1"/>
    <col min="44" max="44" width="16.33203125" bestFit="1" customWidth="1"/>
    <col min="45" max="45" width="9.109375" bestFit="1" customWidth="1"/>
    <col min="46" max="46" width="16.44140625" bestFit="1" customWidth="1"/>
    <col min="47" max="47" width="10.33203125" bestFit="1" customWidth="1"/>
    <col min="48" max="48" width="17.6640625" bestFit="1" customWidth="1"/>
    <col min="49" max="49" width="14.77734375" bestFit="1" customWidth="1"/>
    <col min="50" max="50" width="24.33203125" bestFit="1" customWidth="1"/>
    <col min="51" max="51" width="39.44140625" bestFit="1" customWidth="1"/>
    <col min="52" max="52" width="49.6640625" bestFit="1" customWidth="1"/>
    <col min="53" max="53" width="26.6640625" bestFit="1" customWidth="1"/>
    <col min="54" max="54" width="16.88671875" bestFit="1" customWidth="1"/>
    <col min="55" max="55" width="26.6640625" bestFit="1" customWidth="1"/>
    <col min="56" max="56" width="25.5546875" bestFit="1" customWidth="1"/>
    <col min="57" max="57" width="25.109375" bestFit="1" customWidth="1"/>
    <col min="58" max="58" width="21.44140625" bestFit="1" customWidth="1"/>
    <col min="59" max="59" width="27.109375" bestFit="1" customWidth="1"/>
    <col min="60" max="60" width="12.44140625" bestFit="1" customWidth="1"/>
    <col min="61" max="61" width="80.88671875" bestFit="1" customWidth="1"/>
    <col min="62" max="62" width="15.44140625" bestFit="1" customWidth="1"/>
    <col min="63" max="63" width="24.6640625" customWidth="1"/>
    <col min="64" max="64" width="17.6640625" bestFit="1" customWidth="1"/>
    <col min="65" max="65" width="21.6640625" bestFit="1" customWidth="1"/>
    <col min="66" max="66" width="19.77734375" bestFit="1" customWidth="1"/>
    <col min="67" max="67" width="16.88671875" bestFit="1" customWidth="1"/>
    <col min="68" max="68" width="19.77734375" bestFit="1" customWidth="1"/>
    <col min="69" max="69" width="25.5546875" bestFit="1" customWidth="1"/>
    <col min="70" max="70" width="20.77734375" bestFit="1" customWidth="1"/>
    <col min="71" max="71" width="21.44140625" bestFit="1" customWidth="1"/>
    <col min="72" max="72" width="20.77734375" bestFit="1" customWidth="1"/>
    <col min="73" max="73" width="14.6640625" bestFit="1" customWidth="1"/>
    <col min="74" max="74" width="80.88671875" bestFit="1" customWidth="1"/>
    <col min="75" max="75" width="39.44140625" bestFit="1" customWidth="1"/>
    <col min="76" max="76" width="80.88671875" bestFit="1" customWidth="1"/>
    <col min="77" max="77" width="15.5546875" bestFit="1" customWidth="1"/>
    <col min="78" max="78" width="21.6640625" bestFit="1" customWidth="1"/>
    <col min="79" max="79" width="20" bestFit="1" customWidth="1"/>
    <col min="80" max="80" width="16.88671875" bestFit="1" customWidth="1"/>
    <col min="81" max="81" width="16.33203125" bestFit="1" customWidth="1"/>
    <col min="82" max="82" width="25.5546875" bestFit="1" customWidth="1"/>
    <col min="83" max="83" width="16.44140625" bestFit="1" customWidth="1"/>
    <col min="84" max="84" width="21.44140625" bestFit="1" customWidth="1"/>
    <col min="85" max="85" width="17.6640625" bestFit="1" customWidth="1"/>
    <col min="86" max="86" width="14.77734375" bestFit="1" customWidth="1"/>
    <col min="87" max="87" width="80.88671875" bestFit="1" customWidth="1"/>
    <col min="88" max="88" width="15.44140625" bestFit="1" customWidth="1"/>
    <col min="89" max="89" width="24.6640625" bestFit="1" customWidth="1"/>
    <col min="90" max="90" width="15.5546875" bestFit="1" customWidth="1"/>
    <col min="91" max="91" width="21.6640625" bestFit="1" customWidth="1"/>
    <col min="92" max="92" width="20" bestFit="1" customWidth="1"/>
    <col min="93" max="93" width="16.88671875" bestFit="1" customWidth="1"/>
    <col min="94" max="94" width="16.33203125" bestFit="1" customWidth="1"/>
    <col min="95" max="95" width="25.5546875" bestFit="1" customWidth="1"/>
    <col min="96" max="96" width="16.44140625" bestFit="1" customWidth="1"/>
    <col min="97" max="97" width="21.44140625" bestFit="1" customWidth="1"/>
    <col min="98" max="98" width="17.6640625" bestFit="1" customWidth="1"/>
    <col min="99" max="99" width="14.77734375" bestFit="1" customWidth="1"/>
    <col min="100" max="100" width="80.88671875" bestFit="1" customWidth="1"/>
    <col min="101" max="101" width="14" bestFit="1" customWidth="1"/>
    <col min="102" max="102" width="56.33203125" bestFit="1" customWidth="1"/>
    <col min="103" max="103" width="33.33203125" bestFit="1" customWidth="1"/>
    <col min="104" max="104" width="16.33203125" bestFit="1" customWidth="1"/>
    <col min="105" max="105" width="80.88671875" bestFit="1" customWidth="1"/>
    <col min="106" max="106" width="16.33203125" bestFit="1" customWidth="1"/>
    <col min="107" max="107" width="80.88671875" bestFit="1" customWidth="1"/>
    <col min="108" max="108" width="18.21875" bestFit="1" customWidth="1"/>
    <col min="109" max="109" width="13.77734375" bestFit="1" customWidth="1"/>
    <col min="110" max="111" width="11.77734375" bestFit="1" customWidth="1"/>
    <col min="112" max="112" width="41.6640625" bestFit="1" customWidth="1"/>
    <col min="113" max="113" width="12.77734375" bestFit="1" customWidth="1"/>
    <col min="114" max="114" width="45.44140625" bestFit="1" customWidth="1"/>
    <col min="115" max="115" width="30" bestFit="1" customWidth="1"/>
    <col min="116" max="116" width="37.88671875" bestFit="1" customWidth="1"/>
    <col min="117" max="117" width="42.6640625" bestFit="1" customWidth="1"/>
    <col min="118" max="118" width="35.44140625" bestFit="1" customWidth="1"/>
    <col min="119" max="119" width="34" bestFit="1" customWidth="1"/>
    <col min="120" max="120" width="45.6640625" bestFit="1" customWidth="1"/>
    <col min="121" max="121" width="16.21875" bestFit="1" customWidth="1"/>
    <col min="122" max="122" width="42.44140625" bestFit="1" customWidth="1"/>
    <col min="123" max="123" width="17.21875" bestFit="1" customWidth="1"/>
    <col min="124" max="124" width="33.77734375" bestFit="1" customWidth="1"/>
    <col min="125" max="125" width="20.77734375" bestFit="1" customWidth="1"/>
    <col min="126" max="126" width="26.33203125" bestFit="1" customWidth="1"/>
    <col min="127" max="127" width="15" bestFit="1" customWidth="1"/>
    <col min="128" max="128" width="11.77734375" bestFit="1" customWidth="1"/>
    <col min="129" max="129" width="13.21875" bestFit="1" customWidth="1"/>
    <col min="130" max="130" width="26.33203125" bestFit="1" customWidth="1"/>
    <col min="131" max="132" width="11.77734375" bestFit="1" customWidth="1"/>
    <col min="133" max="133" width="22.33203125" bestFit="1" customWidth="1"/>
    <col min="134" max="134" width="22.77734375" bestFit="1" customWidth="1"/>
    <col min="135" max="136" width="11.77734375" bestFit="1" customWidth="1"/>
    <col min="137" max="137" width="22.33203125" bestFit="1" customWidth="1"/>
    <col min="138" max="138" width="18" bestFit="1" customWidth="1"/>
    <col min="139" max="140" width="11.77734375" bestFit="1" customWidth="1"/>
    <col min="141" max="141" width="22.33203125" bestFit="1" customWidth="1"/>
    <col min="142" max="142" width="27.21875" bestFit="1" customWidth="1"/>
    <col min="143" max="144" width="11.77734375" bestFit="1" customWidth="1"/>
    <col min="145" max="145" width="22.77734375" bestFit="1" customWidth="1"/>
    <col min="146" max="146" width="22.88671875" bestFit="1" customWidth="1"/>
    <col min="147" max="148" width="11.77734375" bestFit="1" customWidth="1"/>
    <col min="149" max="149" width="22.77734375" bestFit="1" customWidth="1"/>
    <col min="150" max="150" width="11.77734375" bestFit="1" customWidth="1"/>
    <col min="151" max="151" width="80.88671875" bestFit="1" customWidth="1"/>
    <col min="152" max="152" width="15" bestFit="1" customWidth="1"/>
    <col min="153" max="153" width="11.77734375" bestFit="1" customWidth="1"/>
    <col min="154" max="154" width="13.21875" bestFit="1" customWidth="1"/>
    <col min="155" max="155" width="26.33203125" bestFit="1" customWidth="1"/>
    <col min="156" max="157" width="11.77734375" bestFit="1" customWidth="1"/>
    <col min="158" max="158" width="22.33203125" bestFit="1" customWidth="1"/>
    <col min="159" max="159" width="15.21875" bestFit="1" customWidth="1"/>
    <col min="160" max="160" width="22.77734375" bestFit="1" customWidth="1"/>
    <col min="161" max="162" width="11.77734375" bestFit="1" customWidth="1"/>
    <col min="163" max="163" width="22.33203125" bestFit="1" customWidth="1"/>
    <col min="164" max="164" width="15.21875" bestFit="1" customWidth="1"/>
    <col min="165" max="165" width="18" bestFit="1" customWidth="1"/>
    <col min="166" max="167" width="11.77734375" bestFit="1" customWidth="1"/>
    <col min="168" max="168" width="22.33203125" bestFit="1" customWidth="1"/>
    <col min="169" max="169" width="15.21875" bestFit="1" customWidth="1"/>
    <col min="170" max="170" width="27.21875" bestFit="1" customWidth="1"/>
    <col min="171" max="172" width="11.77734375" bestFit="1" customWidth="1"/>
    <col min="173" max="173" width="22.33203125" bestFit="1" customWidth="1"/>
    <col min="174" max="174" width="15.21875" bestFit="1" customWidth="1"/>
    <col min="175" max="175" width="22.88671875" bestFit="1" customWidth="1"/>
    <col min="176" max="177" width="11.77734375" bestFit="1" customWidth="1"/>
    <col min="178" max="178" width="22.33203125" bestFit="1" customWidth="1"/>
    <col min="179" max="179" width="15.21875" bestFit="1" customWidth="1"/>
    <col min="180" max="180" width="11.77734375" bestFit="1" customWidth="1"/>
    <col min="181" max="181" width="80.88671875" bestFit="1" customWidth="1"/>
    <col min="182" max="182" width="11.77734375" bestFit="1" customWidth="1"/>
    <col min="183" max="183" width="46.21875" bestFit="1" customWidth="1"/>
    <col min="184" max="184" width="80.88671875" bestFit="1" customWidth="1"/>
    <col min="185" max="185" width="79.6640625" bestFit="1" customWidth="1"/>
    <col min="186" max="186" width="11.77734375" bestFit="1" customWidth="1"/>
    <col min="187" max="187" width="43.5546875" bestFit="1" customWidth="1"/>
    <col min="188" max="188" width="80.88671875" bestFit="1" customWidth="1"/>
    <col min="189" max="189" width="79.6640625" bestFit="1" customWidth="1"/>
    <col min="190" max="190" width="11.77734375" bestFit="1" customWidth="1"/>
    <col min="191" max="191" width="43.5546875" bestFit="1" customWidth="1"/>
    <col min="192" max="192" width="80.88671875" bestFit="1" customWidth="1"/>
    <col min="193" max="193" width="79.6640625" bestFit="1" customWidth="1"/>
    <col min="194" max="194" width="11.77734375" bestFit="1" customWidth="1"/>
    <col min="195" max="195" width="40.5546875" bestFit="1" customWidth="1"/>
    <col min="196" max="197" width="80.88671875" bestFit="1" customWidth="1"/>
    <col min="198" max="198" width="11.77734375" bestFit="1" customWidth="1"/>
    <col min="199" max="199" width="40.5546875" bestFit="1" customWidth="1"/>
    <col min="200" max="200" width="80.88671875" bestFit="1" customWidth="1"/>
    <col min="201" max="201" width="80.6640625" bestFit="1" customWidth="1"/>
    <col min="202" max="202" width="12.77734375" bestFit="1" customWidth="1"/>
    <col min="203" max="203" width="40.5546875" bestFit="1" customWidth="1"/>
    <col min="204" max="204" width="80.88671875" bestFit="1" customWidth="1"/>
    <col min="205" max="205" width="79.6640625" bestFit="1" customWidth="1"/>
    <col min="206" max="206" width="12.77734375" bestFit="1" customWidth="1"/>
    <col min="207" max="207" width="55.109375" bestFit="1" customWidth="1"/>
    <col min="208" max="208" width="80.88671875" bestFit="1" customWidth="1"/>
    <col min="209" max="209" width="79.6640625" bestFit="1" customWidth="1"/>
    <col min="210" max="210" width="12.77734375" bestFit="1" customWidth="1"/>
    <col min="211" max="211" width="40.5546875" bestFit="1" customWidth="1"/>
    <col min="212" max="212" width="80.88671875" bestFit="1" customWidth="1"/>
    <col min="213" max="213" width="79.6640625" bestFit="1" customWidth="1"/>
    <col min="214" max="214" width="12.77734375" bestFit="1" customWidth="1"/>
    <col min="215" max="215" width="40.5546875" bestFit="1" customWidth="1"/>
    <col min="216" max="216" width="80.88671875" bestFit="1" customWidth="1"/>
    <col min="217" max="217" width="74.44140625" bestFit="1" customWidth="1"/>
    <col min="218" max="218" width="12.77734375" bestFit="1" customWidth="1"/>
    <col min="219" max="219" width="46.21875" bestFit="1" customWidth="1"/>
    <col min="220" max="220" width="80.88671875" bestFit="1" customWidth="1"/>
    <col min="221" max="221" width="79.6640625" bestFit="1" customWidth="1"/>
    <col min="222" max="222" width="12.77734375" bestFit="1" customWidth="1"/>
    <col min="223" max="223" width="40.5546875" bestFit="1" customWidth="1"/>
    <col min="224" max="225" width="80.88671875" bestFit="1" customWidth="1"/>
    <col min="226" max="226" width="12.77734375" bestFit="1" customWidth="1"/>
    <col min="227" max="227" width="60.109375" bestFit="1" customWidth="1"/>
    <col min="228" max="228" width="80.88671875" bestFit="1" customWidth="1"/>
    <col min="229" max="229" width="74.44140625" bestFit="1" customWidth="1"/>
    <col min="230" max="230" width="12.77734375" bestFit="1" customWidth="1"/>
    <col min="231" max="231" width="43.5546875" bestFit="1" customWidth="1"/>
    <col min="232" max="232" width="80.88671875" bestFit="1" customWidth="1"/>
    <col min="233" max="233" width="74.44140625" bestFit="1" customWidth="1"/>
    <col min="234" max="234" width="12.77734375" bestFit="1" customWidth="1"/>
    <col min="235" max="235" width="60.109375" bestFit="1" customWidth="1"/>
    <col min="236" max="236" width="80.88671875" bestFit="1" customWidth="1"/>
    <col min="237" max="237" width="65.6640625" bestFit="1" customWidth="1"/>
    <col min="238" max="238" width="12.77734375" bestFit="1" customWidth="1"/>
    <col min="239" max="239" width="34.5546875" bestFit="1" customWidth="1"/>
    <col min="240" max="240" width="80.88671875" bestFit="1" customWidth="1"/>
    <col min="241" max="241" width="63" bestFit="1" customWidth="1"/>
    <col min="242" max="242" width="12.77734375" bestFit="1" customWidth="1"/>
    <col min="243" max="243" width="40.5546875" bestFit="1" customWidth="1"/>
    <col min="244" max="244" width="80.88671875" bestFit="1" customWidth="1"/>
    <col min="245" max="245" width="68.33203125" bestFit="1" customWidth="1"/>
    <col min="246" max="246" width="12.77734375" bestFit="1" customWidth="1"/>
    <col min="247" max="247" width="29.109375" bestFit="1" customWidth="1"/>
    <col min="248" max="248" width="80.88671875" bestFit="1" customWidth="1"/>
    <col min="249" max="249" width="59" bestFit="1" customWidth="1"/>
    <col min="250" max="250" width="12.77734375" bestFit="1" customWidth="1"/>
    <col min="251" max="251" width="40.5546875" bestFit="1" customWidth="1"/>
    <col min="252" max="252" width="80.88671875" bestFit="1" customWidth="1"/>
    <col min="253" max="253" width="62.6640625" bestFit="1" customWidth="1"/>
    <col min="254" max="254" width="12.77734375" bestFit="1" customWidth="1"/>
    <col min="255" max="255" width="40.5546875" bestFit="1" customWidth="1"/>
    <col min="256" max="256" width="52.21875" bestFit="1" customWidth="1"/>
    <col min="257" max="257" width="58.5546875" bestFit="1" customWidth="1"/>
    <col min="258" max="258" width="12.77734375" bestFit="1" customWidth="1"/>
    <col min="259" max="259" width="26.6640625" bestFit="1" customWidth="1"/>
    <col min="260" max="260" width="80.88671875" bestFit="1" customWidth="1"/>
    <col min="261" max="261" width="53.88671875" bestFit="1" customWidth="1"/>
    <col min="262" max="262" width="12.77734375" bestFit="1" customWidth="1"/>
    <col min="263" max="263" width="21.21875" bestFit="1" customWidth="1"/>
    <col min="264" max="264" width="64.88671875" bestFit="1" customWidth="1"/>
    <col min="265" max="265" width="31" bestFit="1" customWidth="1"/>
    <col min="266" max="266" width="12.77734375" bestFit="1" customWidth="1"/>
    <col min="267" max="267" width="21.21875" bestFit="1" customWidth="1"/>
    <col min="268" max="268" width="77.44140625" bestFit="1" customWidth="1"/>
    <col min="269" max="269" width="38.21875" bestFit="1" customWidth="1"/>
    <col min="270" max="270" width="12.77734375" bestFit="1" customWidth="1"/>
    <col min="271" max="271" width="21.21875" bestFit="1" customWidth="1"/>
    <col min="272" max="272" width="80.88671875" bestFit="1" customWidth="1"/>
    <col min="273" max="273" width="61.88671875" bestFit="1" customWidth="1"/>
    <col min="274" max="274" width="12.77734375" bestFit="1" customWidth="1"/>
    <col min="275" max="275" width="21.21875" bestFit="1" customWidth="1"/>
    <col min="276" max="276" width="70" bestFit="1" customWidth="1"/>
    <col min="277" max="277" width="31" bestFit="1" customWidth="1"/>
    <col min="278" max="278" width="12.77734375" bestFit="1" customWidth="1"/>
    <col min="279" max="279" width="80.88671875" bestFit="1" customWidth="1"/>
    <col min="280" max="280" width="35.77734375" bestFit="1" customWidth="1"/>
    <col min="281" max="281" width="12.77734375" bestFit="1" customWidth="1"/>
    <col min="282" max="282" width="80.88671875" bestFit="1" customWidth="1"/>
    <col min="283" max="283" width="53.44140625" bestFit="1" customWidth="1"/>
    <col min="284" max="284" width="12.77734375" bestFit="1" customWidth="1"/>
    <col min="285" max="285" width="80.88671875" bestFit="1" customWidth="1"/>
    <col min="286" max="286" width="40.21875" bestFit="1" customWidth="1"/>
    <col min="287" max="287" width="12.77734375" bestFit="1" customWidth="1"/>
    <col min="288" max="288" width="80.88671875" bestFit="1" customWidth="1"/>
    <col min="289" max="289" width="34.33203125" bestFit="1" customWidth="1"/>
    <col min="290" max="290" width="12.77734375" bestFit="1" customWidth="1"/>
    <col min="291" max="291" width="80.88671875" bestFit="1" customWidth="1"/>
    <col min="292" max="292" width="38.44140625" bestFit="1" customWidth="1"/>
    <col min="293" max="293" width="12.77734375" bestFit="1" customWidth="1"/>
    <col min="294" max="294" width="80.88671875" bestFit="1" customWidth="1"/>
    <col min="295" max="295" width="43.77734375" bestFit="1" customWidth="1"/>
    <col min="296" max="296" width="12.77734375" bestFit="1" customWidth="1"/>
    <col min="297" max="297" width="80.88671875" bestFit="1" customWidth="1"/>
    <col min="298" max="298" width="39.109375" bestFit="1" customWidth="1"/>
    <col min="299" max="299" width="12.77734375" bestFit="1" customWidth="1"/>
    <col min="300" max="300" width="80.88671875" bestFit="1" customWidth="1"/>
    <col min="301" max="301" width="39.88671875" bestFit="1" customWidth="1"/>
    <col min="302" max="302" width="12.77734375" bestFit="1" customWidth="1"/>
    <col min="303" max="303" width="80.88671875" bestFit="1" customWidth="1"/>
    <col min="304" max="304" width="44.5546875" bestFit="1" customWidth="1"/>
    <col min="305" max="305" width="12.77734375" bestFit="1" customWidth="1"/>
    <col min="306" max="306" width="80.88671875" bestFit="1" customWidth="1"/>
    <col min="307" max="307" width="24.88671875" bestFit="1" customWidth="1"/>
    <col min="308" max="308" width="12.77734375" bestFit="1" customWidth="1"/>
    <col min="309" max="309" width="80.88671875" bestFit="1" customWidth="1"/>
    <col min="310" max="310" width="24.88671875" bestFit="1" customWidth="1"/>
    <col min="311" max="311" width="12.77734375" bestFit="1" customWidth="1"/>
    <col min="312" max="312" width="80.88671875" bestFit="1" customWidth="1"/>
    <col min="313" max="313" width="44.5546875" bestFit="1" customWidth="1"/>
    <col min="314" max="314" width="12.77734375" bestFit="1" customWidth="1"/>
    <col min="315" max="315" width="80.88671875" bestFit="1" customWidth="1"/>
    <col min="316" max="316" width="40.6640625" bestFit="1" customWidth="1"/>
    <col min="317" max="317" width="12.77734375" bestFit="1" customWidth="1"/>
    <col min="318" max="318" width="80.88671875" bestFit="1" customWidth="1"/>
    <col min="319" max="319" width="32.21875" bestFit="1" customWidth="1"/>
    <col min="320" max="320" width="12.77734375" bestFit="1" customWidth="1"/>
    <col min="321" max="321" width="80.88671875" bestFit="1" customWidth="1"/>
    <col min="322" max="322" width="26.21875" bestFit="1" customWidth="1"/>
    <col min="323" max="323" width="12.77734375" bestFit="1" customWidth="1"/>
    <col min="324" max="324" width="80.88671875" bestFit="1" customWidth="1"/>
    <col min="325" max="325" width="24.88671875" bestFit="1" customWidth="1"/>
    <col min="326" max="326" width="12.77734375" bestFit="1" customWidth="1"/>
    <col min="327" max="327" width="80.88671875" bestFit="1" customWidth="1"/>
    <col min="328" max="328" width="23.21875" bestFit="1" customWidth="1"/>
    <col min="329" max="329" width="12.77734375" bestFit="1" customWidth="1"/>
    <col min="330" max="330" width="80.88671875" bestFit="1" customWidth="1"/>
    <col min="331" max="331" width="23.21875" bestFit="1" customWidth="1"/>
    <col min="332" max="332" width="12.77734375" bestFit="1" customWidth="1"/>
    <col min="333" max="333" width="80.88671875" bestFit="1" customWidth="1"/>
    <col min="334" max="334" width="39.109375" bestFit="1" customWidth="1"/>
    <col min="335" max="335" width="12.77734375" bestFit="1" customWidth="1"/>
    <col min="336" max="336" width="80.88671875" bestFit="1" customWidth="1"/>
    <col min="337" max="337" width="25.77734375" bestFit="1" customWidth="1"/>
    <col min="338" max="338" width="12.77734375" bestFit="1" customWidth="1"/>
    <col min="339" max="339" width="80.88671875" bestFit="1" customWidth="1"/>
    <col min="340" max="340" width="35.5546875" bestFit="1" customWidth="1"/>
    <col min="341" max="341" width="12.77734375" bestFit="1" customWidth="1"/>
    <col min="342" max="342" width="80.88671875" bestFit="1" customWidth="1"/>
    <col min="343" max="343" width="23.21875" bestFit="1" customWidth="1"/>
    <col min="344" max="344" width="12.77734375" bestFit="1" customWidth="1"/>
    <col min="345" max="345" width="80.88671875" bestFit="1" customWidth="1"/>
    <col min="346" max="346" width="23.21875" bestFit="1" customWidth="1"/>
    <col min="347" max="347" width="12.77734375" bestFit="1" customWidth="1"/>
    <col min="348" max="348" width="80.88671875" bestFit="1" customWidth="1"/>
    <col min="349" max="349" width="23.21875" bestFit="1" customWidth="1"/>
    <col min="350" max="350" width="12.77734375" bestFit="1" customWidth="1"/>
    <col min="351" max="351" width="76.109375" bestFit="1" customWidth="1"/>
    <col min="352" max="352" width="23.21875" bestFit="1" customWidth="1"/>
    <col min="353" max="353" width="12.77734375" bestFit="1" customWidth="1"/>
    <col min="354" max="354" width="59.109375" bestFit="1" customWidth="1"/>
    <col min="355" max="355" width="23.21875" bestFit="1" customWidth="1"/>
    <col min="356" max="356" width="12.77734375" bestFit="1" customWidth="1"/>
    <col min="357" max="357" width="76.109375" bestFit="1" customWidth="1"/>
    <col min="358" max="358" width="23.21875" bestFit="1" customWidth="1"/>
    <col min="359" max="359" width="12.77734375" bestFit="1" customWidth="1"/>
    <col min="360" max="360" width="59.109375" bestFit="1" customWidth="1"/>
    <col min="361" max="361" width="23.21875" bestFit="1" customWidth="1"/>
    <col min="362" max="362" width="12.77734375" bestFit="1" customWidth="1"/>
    <col min="363" max="363" width="80.88671875" bestFit="1" customWidth="1"/>
    <col min="364" max="364" width="23.21875" bestFit="1" customWidth="1"/>
    <col min="365" max="365" width="12.77734375" bestFit="1" customWidth="1"/>
    <col min="366" max="366" width="80.88671875" bestFit="1" customWidth="1"/>
    <col min="367" max="367" width="23.21875" bestFit="1" customWidth="1"/>
    <col min="368" max="368" width="12.77734375" bestFit="1" customWidth="1"/>
    <col min="369" max="369" width="76.109375" bestFit="1" customWidth="1"/>
    <col min="370" max="370" width="23.21875" bestFit="1" customWidth="1"/>
    <col min="371" max="371" width="12.77734375" bestFit="1" customWidth="1"/>
    <col min="372" max="372" width="33.44140625" bestFit="1" customWidth="1"/>
    <col min="373" max="373" width="23.21875" bestFit="1" customWidth="1"/>
    <col min="374" max="374" width="12.77734375" bestFit="1" customWidth="1"/>
    <col min="375" max="375" width="30.21875" bestFit="1" customWidth="1"/>
    <col min="376" max="376" width="23.21875" bestFit="1" customWidth="1"/>
    <col min="377" max="377" width="12.77734375" bestFit="1" customWidth="1"/>
    <col min="378" max="378" width="80.88671875" bestFit="1" customWidth="1"/>
    <col min="379" max="379" width="12.77734375" bestFit="1" customWidth="1"/>
    <col min="380" max="380" width="76.5546875" bestFit="1" customWidth="1"/>
    <col min="381" max="381" width="12.77734375" bestFit="1" customWidth="1"/>
    <col min="382" max="382" width="80.88671875" bestFit="1" customWidth="1"/>
    <col min="383" max="383" width="12.77734375" bestFit="1" customWidth="1"/>
    <col min="384" max="384" width="78" bestFit="1" customWidth="1"/>
    <col min="385" max="385" width="12.77734375" bestFit="1" customWidth="1"/>
    <col min="386" max="386" width="75.6640625" bestFit="1" customWidth="1"/>
    <col min="387" max="387" width="12.77734375" bestFit="1" customWidth="1"/>
    <col min="388" max="388" width="76.5546875" bestFit="1" customWidth="1"/>
    <col min="389" max="389" width="12.77734375" bestFit="1" customWidth="1"/>
    <col min="390" max="390" width="79.33203125" bestFit="1" customWidth="1"/>
    <col min="391" max="391" width="12.77734375" bestFit="1" customWidth="1"/>
    <col min="392" max="392" width="71.77734375" bestFit="1" customWidth="1"/>
    <col min="393" max="393" width="12.77734375" bestFit="1" customWidth="1"/>
    <col min="394" max="394" width="71.6640625" bestFit="1" customWidth="1"/>
    <col min="395" max="395" width="12.77734375" bestFit="1" customWidth="1"/>
    <col min="396" max="396" width="63.5546875" bestFit="1" customWidth="1"/>
    <col min="397" max="397" width="12.77734375" bestFit="1" customWidth="1"/>
    <col min="398" max="398" width="73.44140625" bestFit="1" customWidth="1"/>
    <col min="399" max="399" width="12.77734375" bestFit="1" customWidth="1"/>
    <col min="400" max="400" width="74.5546875" bestFit="1" customWidth="1"/>
    <col min="401" max="410" width="80.88671875" bestFit="1" customWidth="1"/>
    <col min="411" max="412" width="12.77734375" bestFit="1" customWidth="1"/>
    <col min="413" max="414" width="18.21875" bestFit="1" customWidth="1"/>
    <col min="415" max="415" width="12.77734375" bestFit="1" customWidth="1"/>
    <col min="416" max="416" width="19" bestFit="1" customWidth="1"/>
    <col min="417" max="417" width="28.21875" bestFit="1" customWidth="1"/>
    <col min="418" max="418" width="19" bestFit="1" customWidth="1"/>
    <col min="419" max="419" width="20.109375" bestFit="1" customWidth="1"/>
    <col min="420" max="420" width="19" bestFit="1" customWidth="1"/>
    <col min="421" max="421" width="13.44140625" bestFit="1" customWidth="1"/>
    <col min="422" max="422" width="19" bestFit="1" customWidth="1"/>
    <col min="423" max="423" width="18.6640625" bestFit="1" customWidth="1"/>
    <col min="424" max="424" width="19" bestFit="1" customWidth="1"/>
    <col min="425" max="425" width="20" bestFit="1" customWidth="1"/>
    <col min="426" max="426" width="19" bestFit="1" customWidth="1"/>
    <col min="427" max="427" width="31.5546875" bestFit="1" customWidth="1"/>
    <col min="428" max="428" width="37.77734375" bestFit="1" customWidth="1"/>
    <col min="429" max="429" width="80.88671875" bestFit="1" customWidth="1"/>
    <col min="430" max="430" width="16.33203125" bestFit="1" customWidth="1"/>
    <col min="431" max="431" width="56.33203125" bestFit="1" customWidth="1"/>
    <col min="432" max="432" width="33.33203125" bestFit="1" customWidth="1"/>
    <col min="433" max="434" width="18.77734375" bestFit="1" customWidth="1"/>
    <col min="435" max="435" width="18.21875" bestFit="1" customWidth="1"/>
    <col min="436" max="436" width="16" bestFit="1" customWidth="1"/>
    <col min="437" max="437" width="6.33203125" bestFit="1" customWidth="1"/>
    <col min="438" max="438" width="14" bestFit="1" customWidth="1"/>
    <col min="439" max="439" width="41.6640625" bestFit="1" customWidth="1"/>
    <col min="440" max="440" width="15" bestFit="1" customWidth="1"/>
    <col min="441" max="441" width="45.44140625" bestFit="1" customWidth="1"/>
    <col min="442" max="442" width="32.77734375" bestFit="1" customWidth="1"/>
    <col min="443" max="443" width="37.88671875" bestFit="1" customWidth="1"/>
    <col min="444" max="444" width="42.6640625" bestFit="1" customWidth="1"/>
    <col min="445" max="445" width="38" bestFit="1" customWidth="1"/>
    <col min="446" max="446" width="36.33203125" bestFit="1" customWidth="1"/>
    <col min="447" max="447" width="45.6640625" bestFit="1" customWidth="1"/>
    <col min="448" max="448" width="18.44140625" bestFit="1" customWidth="1"/>
    <col min="449" max="449" width="42.44140625" bestFit="1" customWidth="1"/>
    <col min="450" max="450" width="19.5546875" bestFit="1" customWidth="1"/>
    <col min="451" max="451" width="33.77734375" bestFit="1" customWidth="1"/>
    <col min="452" max="452" width="20.77734375" bestFit="1" customWidth="1"/>
    <col min="453" max="453" width="29" bestFit="1" customWidth="1"/>
    <col min="454" max="454" width="15.44140625" bestFit="1" customWidth="1"/>
    <col min="455" max="455" width="26.33203125" bestFit="1" customWidth="1"/>
    <col min="456" max="456" width="15.5546875" bestFit="1" customWidth="1"/>
    <col min="457" max="457" width="22.77734375" bestFit="1" customWidth="1"/>
    <col min="458" max="458" width="20" bestFit="1" customWidth="1"/>
    <col min="459" max="459" width="18" bestFit="1" customWidth="1"/>
    <col min="460" max="460" width="16.33203125" bestFit="1" customWidth="1"/>
    <col min="461" max="461" width="27.21875" bestFit="1" customWidth="1"/>
    <col min="462" max="462" width="16.44140625" bestFit="1" customWidth="1"/>
    <col min="463" max="463" width="22.88671875" bestFit="1" customWidth="1"/>
    <col min="464" max="464" width="17.6640625" bestFit="1" customWidth="1"/>
    <col min="465" max="465" width="15" bestFit="1" customWidth="1"/>
    <col min="466" max="466" width="80.88671875" bestFit="1" customWidth="1"/>
    <col min="467" max="467" width="15.44140625" bestFit="1" customWidth="1"/>
    <col min="468" max="468" width="26.33203125" bestFit="1" customWidth="1"/>
    <col min="469" max="469" width="15.5546875" bestFit="1" customWidth="1"/>
    <col min="470" max="470" width="22.77734375" bestFit="1" customWidth="1"/>
    <col min="471" max="471" width="20" bestFit="1" customWidth="1"/>
    <col min="472" max="472" width="18" bestFit="1" customWidth="1"/>
    <col min="473" max="473" width="16.33203125" bestFit="1" customWidth="1"/>
    <col min="474" max="474" width="27.21875" bestFit="1" customWidth="1"/>
    <col min="475" max="475" width="16.44140625" bestFit="1" customWidth="1"/>
    <col min="476" max="476" width="22.88671875" bestFit="1" customWidth="1"/>
    <col min="477" max="477" width="17.6640625" bestFit="1" customWidth="1"/>
    <col min="478" max="478" width="15" bestFit="1" customWidth="1"/>
    <col min="479" max="479" width="80.88671875" bestFit="1" customWidth="1"/>
    <col min="480" max="480" width="13.44140625" bestFit="1" customWidth="1"/>
    <col min="481" max="481" width="46.21875" bestFit="1" customWidth="1"/>
    <col min="482" max="482" width="80.88671875" bestFit="1" customWidth="1"/>
    <col min="483" max="483" width="79.6640625" bestFit="1" customWidth="1"/>
    <col min="484" max="484" width="13.44140625" bestFit="1" customWidth="1"/>
    <col min="485" max="485" width="43.5546875" bestFit="1" customWidth="1"/>
    <col min="486" max="486" width="80.88671875" bestFit="1" customWidth="1"/>
    <col min="487" max="487" width="79.6640625" bestFit="1" customWidth="1"/>
    <col min="488" max="488" width="13.44140625" bestFit="1" customWidth="1"/>
    <col min="489" max="489" width="43.5546875" bestFit="1" customWidth="1"/>
    <col min="490" max="490" width="80.88671875" bestFit="1" customWidth="1"/>
    <col min="491" max="491" width="79.6640625" bestFit="1" customWidth="1"/>
    <col min="492" max="492" width="13.44140625" bestFit="1" customWidth="1"/>
    <col min="493" max="493" width="40.5546875" bestFit="1" customWidth="1"/>
    <col min="494" max="495" width="80.88671875" bestFit="1" customWidth="1"/>
    <col min="496" max="496" width="13.44140625" bestFit="1" customWidth="1"/>
    <col min="497" max="497" width="40.5546875" bestFit="1" customWidth="1"/>
    <col min="498" max="498" width="80.88671875" bestFit="1" customWidth="1"/>
    <col min="499" max="499" width="80.6640625" bestFit="1" customWidth="1"/>
    <col min="500" max="500" width="13.44140625" bestFit="1" customWidth="1"/>
    <col min="501" max="501" width="40.5546875" bestFit="1" customWidth="1"/>
    <col min="502" max="502" width="80.88671875" bestFit="1" customWidth="1"/>
    <col min="503" max="503" width="79.6640625" bestFit="1" customWidth="1"/>
    <col min="504" max="504" width="13.44140625" bestFit="1" customWidth="1"/>
    <col min="505" max="505" width="55.109375" bestFit="1" customWidth="1"/>
    <col min="506" max="506" width="80.88671875" bestFit="1" customWidth="1"/>
    <col min="507" max="507" width="79.6640625" bestFit="1" customWidth="1"/>
    <col min="508" max="508" width="13.44140625" bestFit="1" customWidth="1"/>
    <col min="509" max="509" width="40.5546875" bestFit="1" customWidth="1"/>
    <col min="510" max="510" width="80.88671875" bestFit="1" customWidth="1"/>
    <col min="511" max="511" width="79.6640625" bestFit="1" customWidth="1"/>
    <col min="512" max="512" width="13.44140625" bestFit="1" customWidth="1"/>
    <col min="513" max="513" width="40.5546875" bestFit="1" customWidth="1"/>
    <col min="514" max="514" width="80.88671875" bestFit="1" customWidth="1"/>
    <col min="515" max="515" width="74.44140625" bestFit="1" customWidth="1"/>
    <col min="516" max="516" width="14.44140625" bestFit="1" customWidth="1"/>
    <col min="517" max="517" width="46.21875" bestFit="1" customWidth="1"/>
    <col min="518" max="518" width="80.88671875" bestFit="1" customWidth="1"/>
    <col min="519" max="519" width="79.6640625" bestFit="1" customWidth="1"/>
    <col min="520" max="520" width="14.44140625" bestFit="1" customWidth="1"/>
    <col min="521" max="521" width="40.5546875" bestFit="1" customWidth="1"/>
    <col min="522" max="523" width="80.88671875" bestFit="1" customWidth="1"/>
    <col min="524" max="524" width="14.44140625" bestFit="1" customWidth="1"/>
    <col min="525" max="525" width="60.109375" bestFit="1" customWidth="1"/>
    <col min="526" max="526" width="80.88671875" bestFit="1" customWidth="1"/>
    <col min="527" max="527" width="74.44140625" bestFit="1" customWidth="1"/>
    <col min="528" max="528" width="14.44140625" bestFit="1" customWidth="1"/>
    <col min="529" max="529" width="43.5546875" bestFit="1" customWidth="1"/>
    <col min="530" max="530" width="80.88671875" bestFit="1" customWidth="1"/>
    <col min="531" max="531" width="74.44140625" bestFit="1" customWidth="1"/>
    <col min="532" max="532" width="14.44140625" bestFit="1" customWidth="1"/>
    <col min="533" max="533" width="60.109375" bestFit="1" customWidth="1"/>
    <col min="534" max="534" width="80.88671875" bestFit="1" customWidth="1"/>
    <col min="535" max="535" width="65.6640625" bestFit="1" customWidth="1"/>
    <col min="536" max="536" width="14.44140625" bestFit="1" customWidth="1"/>
    <col min="537" max="537" width="34.5546875" bestFit="1" customWidth="1"/>
    <col min="538" max="538" width="80.88671875" bestFit="1" customWidth="1"/>
    <col min="539" max="539" width="63" bestFit="1" customWidth="1"/>
    <col min="540" max="540" width="14.44140625" bestFit="1" customWidth="1"/>
    <col min="541" max="541" width="40.5546875" bestFit="1" customWidth="1"/>
    <col min="542" max="542" width="80.88671875" bestFit="1" customWidth="1"/>
    <col min="543" max="543" width="68.33203125" bestFit="1" customWidth="1"/>
    <col min="544" max="544" width="14.44140625" bestFit="1" customWidth="1"/>
    <col min="545" max="545" width="29.109375" bestFit="1" customWidth="1"/>
    <col min="546" max="546" width="80.88671875" bestFit="1" customWidth="1"/>
    <col min="547" max="547" width="59" bestFit="1" customWidth="1"/>
    <col min="548" max="548" width="14.44140625" bestFit="1" customWidth="1"/>
    <col min="549" max="549" width="40.5546875" bestFit="1" customWidth="1"/>
    <col min="550" max="550" width="80.88671875" bestFit="1" customWidth="1"/>
    <col min="551" max="551" width="62.6640625" bestFit="1" customWidth="1"/>
    <col min="552" max="552" width="14.44140625" bestFit="1" customWidth="1"/>
    <col min="553" max="553" width="40.5546875" bestFit="1" customWidth="1"/>
    <col min="554" max="554" width="52.21875" bestFit="1" customWidth="1"/>
    <col min="555" max="555" width="58.5546875" bestFit="1" customWidth="1"/>
    <col min="556" max="556" width="14.44140625" bestFit="1" customWidth="1"/>
    <col min="557" max="557" width="26.6640625" bestFit="1" customWidth="1"/>
    <col min="558" max="558" width="80.88671875" bestFit="1" customWidth="1"/>
    <col min="559" max="559" width="53.88671875" bestFit="1" customWidth="1"/>
    <col min="560" max="560" width="14.44140625" bestFit="1" customWidth="1"/>
    <col min="561" max="561" width="21.21875" bestFit="1" customWidth="1"/>
    <col min="562" max="562" width="64.88671875" bestFit="1" customWidth="1"/>
    <col min="563" max="563" width="31" bestFit="1" customWidth="1"/>
    <col min="564" max="564" width="14.44140625" bestFit="1" customWidth="1"/>
    <col min="565" max="565" width="21.21875" bestFit="1" customWidth="1"/>
    <col min="566" max="566" width="77.44140625" bestFit="1" customWidth="1"/>
    <col min="567" max="567" width="38.21875" bestFit="1" customWidth="1"/>
    <col min="568" max="568" width="14.44140625" bestFit="1" customWidth="1"/>
    <col min="569" max="569" width="21.21875" bestFit="1" customWidth="1"/>
    <col min="570" max="570" width="80.88671875" bestFit="1" customWidth="1"/>
    <col min="571" max="571" width="61.88671875" bestFit="1" customWidth="1"/>
    <col min="572" max="572" width="14.44140625" bestFit="1" customWidth="1"/>
    <col min="573" max="573" width="21.21875" bestFit="1" customWidth="1"/>
    <col min="574" max="574" width="70" bestFit="1" customWidth="1"/>
    <col min="575" max="575" width="31" bestFit="1" customWidth="1"/>
    <col min="576" max="576" width="13" bestFit="1" customWidth="1"/>
    <col min="577" max="577" width="80.88671875" bestFit="1" customWidth="1"/>
    <col min="578" max="578" width="35.77734375" bestFit="1" customWidth="1"/>
    <col min="579" max="579" width="13" bestFit="1" customWidth="1"/>
    <col min="580" max="580" width="80.88671875" bestFit="1" customWidth="1"/>
    <col min="581" max="581" width="53.44140625" bestFit="1" customWidth="1"/>
    <col min="582" max="582" width="13" bestFit="1" customWidth="1"/>
    <col min="583" max="583" width="80.88671875" bestFit="1" customWidth="1"/>
    <col min="584" max="584" width="40.21875" bestFit="1" customWidth="1"/>
    <col min="585" max="585" width="13" bestFit="1" customWidth="1"/>
    <col min="586" max="586" width="80.88671875" bestFit="1" customWidth="1"/>
    <col min="587" max="587" width="34.33203125" bestFit="1" customWidth="1"/>
    <col min="588" max="588" width="13" bestFit="1" customWidth="1"/>
    <col min="589" max="589" width="80.88671875" bestFit="1" customWidth="1"/>
    <col min="590" max="590" width="38.44140625" bestFit="1" customWidth="1"/>
    <col min="591" max="591" width="13" bestFit="1" customWidth="1"/>
    <col min="592" max="592" width="80.88671875" bestFit="1" customWidth="1"/>
    <col min="593" max="593" width="43.77734375" bestFit="1" customWidth="1"/>
    <col min="594" max="594" width="13" bestFit="1" customWidth="1"/>
    <col min="595" max="595" width="80.88671875" bestFit="1" customWidth="1"/>
    <col min="596" max="596" width="39.109375" bestFit="1" customWidth="1"/>
    <col min="597" max="597" width="13" bestFit="1" customWidth="1"/>
    <col min="598" max="598" width="80.88671875" bestFit="1" customWidth="1"/>
    <col min="599" max="599" width="39.88671875" bestFit="1" customWidth="1"/>
    <col min="600" max="600" width="13" bestFit="1" customWidth="1"/>
    <col min="601" max="601" width="80.88671875" bestFit="1" customWidth="1"/>
    <col min="602" max="602" width="44.5546875" bestFit="1" customWidth="1"/>
    <col min="603" max="603" width="14" bestFit="1" customWidth="1"/>
    <col min="604" max="604" width="80.88671875" bestFit="1" customWidth="1"/>
    <col min="605" max="605" width="28.5546875" bestFit="1" customWidth="1"/>
    <col min="606" max="606" width="14" bestFit="1" customWidth="1"/>
    <col min="607" max="607" width="80.88671875" bestFit="1" customWidth="1"/>
    <col min="608" max="608" width="28.5546875" bestFit="1" customWidth="1"/>
    <col min="609" max="609" width="14" bestFit="1" customWidth="1"/>
    <col min="610" max="610" width="80.88671875" bestFit="1" customWidth="1"/>
    <col min="611" max="611" width="44.5546875" bestFit="1" customWidth="1"/>
    <col min="612" max="612" width="14" bestFit="1" customWidth="1"/>
    <col min="613" max="613" width="80.88671875" bestFit="1" customWidth="1"/>
    <col min="614" max="614" width="40.6640625" bestFit="1" customWidth="1"/>
    <col min="615" max="615" width="14" bestFit="1" customWidth="1"/>
    <col min="616" max="616" width="80.88671875" bestFit="1" customWidth="1"/>
    <col min="617" max="617" width="32.21875" bestFit="1" customWidth="1"/>
    <col min="618" max="618" width="14" bestFit="1" customWidth="1"/>
    <col min="619" max="619" width="80.88671875" bestFit="1" customWidth="1"/>
    <col min="620" max="620" width="28.5546875" bestFit="1" customWidth="1"/>
    <col min="621" max="621" width="14" bestFit="1" customWidth="1"/>
    <col min="622" max="622" width="80.88671875" bestFit="1" customWidth="1"/>
    <col min="623" max="623" width="28.5546875" bestFit="1" customWidth="1"/>
    <col min="624" max="624" width="14" bestFit="1" customWidth="1"/>
    <col min="625" max="625" width="80.88671875" bestFit="1" customWidth="1"/>
    <col min="626" max="626" width="28.5546875" bestFit="1" customWidth="1"/>
    <col min="627" max="627" width="14" bestFit="1" customWidth="1"/>
    <col min="628" max="628" width="80.88671875" bestFit="1" customWidth="1"/>
    <col min="629" max="629" width="28.5546875" bestFit="1" customWidth="1"/>
    <col min="630" max="630" width="14" bestFit="1" customWidth="1"/>
    <col min="631" max="631" width="80.88671875" bestFit="1" customWidth="1"/>
    <col min="632" max="632" width="39.109375" bestFit="1" customWidth="1"/>
    <col min="633" max="633" width="14" bestFit="1" customWidth="1"/>
    <col min="634" max="634" width="80.88671875" bestFit="1" customWidth="1"/>
    <col min="635" max="635" width="28.5546875" bestFit="1" customWidth="1"/>
    <col min="636" max="636" width="14" bestFit="1" customWidth="1"/>
    <col min="637" max="637" width="80.88671875" bestFit="1" customWidth="1"/>
    <col min="638" max="638" width="35.5546875" bestFit="1" customWidth="1"/>
    <col min="639" max="639" width="14" bestFit="1" customWidth="1"/>
    <col min="640" max="640" width="80.88671875" bestFit="1" customWidth="1"/>
    <col min="641" max="641" width="28.5546875" bestFit="1" customWidth="1"/>
    <col min="642" max="642" width="14" bestFit="1" customWidth="1"/>
    <col min="643" max="643" width="80.88671875" bestFit="1" customWidth="1"/>
    <col min="644" max="644" width="28.5546875" bestFit="1" customWidth="1"/>
    <col min="645" max="645" width="14" bestFit="1" customWidth="1"/>
    <col min="646" max="646" width="80.88671875" bestFit="1" customWidth="1"/>
    <col min="647" max="647" width="28.5546875" bestFit="1" customWidth="1"/>
    <col min="648" max="648" width="14" bestFit="1" customWidth="1"/>
    <col min="649" max="649" width="76.109375" bestFit="1" customWidth="1"/>
    <col min="650" max="650" width="28.5546875" bestFit="1" customWidth="1"/>
    <col min="651" max="651" width="14" bestFit="1" customWidth="1"/>
    <col min="652" max="652" width="59.109375" bestFit="1" customWidth="1"/>
    <col min="653" max="653" width="28.5546875" bestFit="1" customWidth="1"/>
    <col min="654" max="654" width="14" bestFit="1" customWidth="1"/>
    <col min="655" max="655" width="76.109375" bestFit="1" customWidth="1"/>
    <col min="656" max="656" width="28.5546875" bestFit="1" customWidth="1"/>
    <col min="657" max="657" width="14" bestFit="1" customWidth="1"/>
    <col min="658" max="658" width="59.109375" bestFit="1" customWidth="1"/>
    <col min="659" max="659" width="28.5546875" bestFit="1" customWidth="1"/>
    <col min="660" max="660" width="14" bestFit="1" customWidth="1"/>
    <col min="661" max="661" width="80.88671875" bestFit="1" customWidth="1"/>
    <col min="662" max="662" width="28.5546875" bestFit="1" customWidth="1"/>
    <col min="663" max="663" width="14" bestFit="1" customWidth="1"/>
    <col min="664" max="664" width="80.88671875" bestFit="1" customWidth="1"/>
    <col min="665" max="665" width="28.5546875" bestFit="1" customWidth="1"/>
    <col min="666" max="666" width="14" bestFit="1" customWidth="1"/>
    <col min="667" max="667" width="76.109375" bestFit="1" customWidth="1"/>
    <col min="668" max="668" width="28.5546875" bestFit="1" customWidth="1"/>
    <col min="669" max="669" width="14" bestFit="1" customWidth="1"/>
    <col min="670" max="670" width="35.44140625" bestFit="1" customWidth="1"/>
    <col min="671" max="671" width="28.5546875" bestFit="1" customWidth="1"/>
    <col min="672" max="672" width="14" bestFit="1" customWidth="1"/>
    <col min="673" max="673" width="35.44140625" bestFit="1" customWidth="1"/>
    <col min="674" max="674" width="28.5546875" bestFit="1" customWidth="1"/>
    <col min="675" max="675" width="16.88671875" bestFit="1" customWidth="1"/>
    <col min="676" max="676" width="80.88671875" bestFit="1" customWidth="1"/>
    <col min="677" max="677" width="16.88671875" bestFit="1" customWidth="1"/>
    <col min="678" max="678" width="76.5546875" bestFit="1" customWidth="1"/>
    <col min="679" max="679" width="16.88671875" bestFit="1" customWidth="1"/>
    <col min="680" max="680" width="80.88671875" bestFit="1" customWidth="1"/>
    <col min="681" max="681" width="16.88671875" bestFit="1" customWidth="1"/>
    <col min="682" max="682" width="78" bestFit="1" customWidth="1"/>
    <col min="683" max="683" width="16.88671875" bestFit="1" customWidth="1"/>
    <col min="684" max="684" width="75.6640625" bestFit="1" customWidth="1"/>
    <col min="685" max="685" width="16.88671875" bestFit="1" customWidth="1"/>
    <col min="686" max="686" width="76.5546875" bestFit="1" customWidth="1"/>
    <col min="687" max="687" width="16.88671875" bestFit="1" customWidth="1"/>
    <col min="688" max="688" width="79.33203125" bestFit="1" customWidth="1"/>
    <col min="689" max="689" width="16.88671875" bestFit="1" customWidth="1"/>
    <col min="690" max="690" width="71.77734375" bestFit="1" customWidth="1"/>
    <col min="691" max="691" width="16.88671875" bestFit="1" customWidth="1"/>
    <col min="692" max="692" width="71.6640625" bestFit="1" customWidth="1"/>
    <col min="693" max="693" width="17.88671875" bestFit="1" customWidth="1"/>
    <col min="694" max="694" width="63.5546875" bestFit="1" customWidth="1"/>
    <col min="695" max="695" width="17.88671875" bestFit="1" customWidth="1"/>
    <col min="696" max="696" width="73.44140625" bestFit="1" customWidth="1"/>
    <col min="697" max="697" width="17.88671875" bestFit="1" customWidth="1"/>
    <col min="698" max="698" width="74.5546875" bestFit="1" customWidth="1"/>
    <col min="699" max="708" width="80.88671875" bestFit="1" customWidth="1"/>
    <col min="709" max="709" width="14" bestFit="1" customWidth="1"/>
    <col min="710" max="710" width="20.5546875" bestFit="1" customWidth="1"/>
    <col min="711" max="711" width="20.6640625" bestFit="1" customWidth="1"/>
    <col min="712" max="712" width="15" bestFit="1" customWidth="1"/>
    <col min="713" max="713" width="30.77734375" bestFit="1" customWidth="1"/>
    <col min="714" max="714" width="22.33203125" bestFit="1" customWidth="1"/>
    <col min="715" max="715" width="16" bestFit="1" customWidth="1"/>
    <col min="716" max="716" width="21.109375" bestFit="1" customWidth="1"/>
    <col min="717" max="717" width="22.5546875" bestFit="1" customWidth="1"/>
    <col min="718" max="718" width="19" bestFit="1" customWidth="1"/>
    <col min="719" max="719" width="31.5546875" bestFit="1" customWidth="1"/>
    <col min="720" max="720" width="26.21875" bestFit="1" customWidth="1"/>
    <col min="721" max="721" width="80.88671875" bestFit="1" customWidth="1"/>
    <col min="722" max="722" width="50.6640625" bestFit="1" customWidth="1"/>
    <col min="723" max="723" width="17.88671875" bestFit="1" customWidth="1"/>
    <col min="724" max="724" width="50.6640625" bestFit="1" customWidth="1"/>
    <col min="725" max="725" width="31.5546875" bestFit="1" customWidth="1"/>
    <col min="726" max="726" width="50.6640625" bestFit="1" customWidth="1"/>
    <col min="727" max="727" width="80.88671875" bestFit="1" customWidth="1"/>
    <col min="728" max="728" width="50.6640625" bestFit="1" customWidth="1"/>
    <col min="729" max="729" width="17.88671875" bestFit="1" customWidth="1"/>
    <col min="730" max="730" width="50.6640625" bestFit="1" customWidth="1"/>
    <col min="731" max="731" width="17.88671875" bestFit="1" customWidth="1"/>
    <col min="732" max="732" width="50.6640625" bestFit="1" customWidth="1"/>
    <col min="733" max="741" width="12.109375" bestFit="1" customWidth="1"/>
    <col min="742" max="742" width="13" bestFit="1" customWidth="1"/>
    <col min="743" max="743" width="14" bestFit="1" customWidth="1"/>
    <col min="744" max="744" width="20.5546875" bestFit="1" customWidth="1"/>
    <col min="745" max="745" width="20.6640625" bestFit="1" customWidth="1"/>
    <col min="746" max="746" width="15" bestFit="1" customWidth="1"/>
    <col min="747" max="747" width="30.77734375" bestFit="1" customWidth="1"/>
    <col min="748" max="748" width="22.33203125" bestFit="1" customWidth="1"/>
    <col min="749" max="749" width="16" bestFit="1" customWidth="1"/>
    <col min="750" max="750" width="21.109375" bestFit="1" customWidth="1"/>
    <col min="751" max="751" width="22.5546875" bestFit="1" customWidth="1"/>
    <col min="752" max="752" width="12.77734375" bestFit="1" customWidth="1"/>
    <col min="753" max="753" width="10" bestFit="1" customWidth="1"/>
    <col min="754" max="754" width="26.21875" bestFit="1" customWidth="1"/>
    <col min="755" max="755" width="10.21875" bestFit="1" customWidth="1"/>
    <col min="756" max="756" width="18.6640625" bestFit="1" customWidth="1"/>
    <col min="757" max="757" width="50.6640625" bestFit="1" customWidth="1"/>
    <col min="758" max="758" width="20" bestFit="1" customWidth="1"/>
    <col min="759" max="759" width="50.6640625" bestFit="1" customWidth="1"/>
    <col min="760" max="760" width="31.5546875" bestFit="1" customWidth="1"/>
    <col min="761" max="761" width="50.6640625" bestFit="1" customWidth="1"/>
    <col min="762" max="762" width="80.88671875" bestFit="1" customWidth="1"/>
    <col min="763" max="763" width="50.6640625" bestFit="1" customWidth="1"/>
    <col min="764" max="764" width="17.88671875" bestFit="1" customWidth="1"/>
    <col min="765" max="765" width="50.6640625" bestFit="1" customWidth="1"/>
    <col min="766" max="766" width="17.88671875" bestFit="1" customWidth="1"/>
    <col min="767" max="767" width="50.6640625" bestFit="1" customWidth="1"/>
    <col min="768" max="776" width="12.109375" bestFit="1" customWidth="1"/>
    <col min="777" max="777" width="13" bestFit="1" customWidth="1"/>
    <col min="778" max="778" width="14" bestFit="1" customWidth="1"/>
    <col min="779" max="779" width="11.88671875" bestFit="1" customWidth="1"/>
    <col min="780" max="780" width="20.5546875" bestFit="1" customWidth="1"/>
    <col min="781" max="781" width="20.6640625" bestFit="1" customWidth="1"/>
    <col min="782" max="782" width="15" bestFit="1" customWidth="1"/>
    <col min="783" max="783" width="11.88671875" bestFit="1" customWidth="1"/>
    <col min="784" max="784" width="30.77734375" bestFit="1" customWidth="1"/>
    <col min="785" max="785" width="11.88671875" bestFit="1" customWidth="1"/>
    <col min="786" max="786" width="22.33203125" bestFit="1" customWidth="1"/>
    <col min="787" max="787" width="11.88671875" bestFit="1" customWidth="1"/>
    <col min="788" max="788" width="16" bestFit="1" customWidth="1"/>
    <col min="789" max="789" width="11.88671875" bestFit="1" customWidth="1"/>
    <col min="790" max="790" width="21.109375" bestFit="1" customWidth="1"/>
    <col min="791" max="791" width="11.88671875" bestFit="1" customWidth="1"/>
    <col min="792" max="792" width="22.5546875" bestFit="1" customWidth="1"/>
    <col min="793" max="793" width="12.77734375" bestFit="1" customWidth="1"/>
    <col min="794" max="794" width="10" bestFit="1" customWidth="1"/>
    <col min="795" max="795" width="26.21875" bestFit="1" customWidth="1"/>
    <col min="796" max="796" width="10.21875" bestFit="1" customWidth="1"/>
    <col min="797" max="797" width="43.5546875" bestFit="1" customWidth="1"/>
    <col min="798" max="798" width="56.33203125" bestFit="1" customWidth="1"/>
    <col min="799" max="799" width="33.33203125" bestFit="1" customWidth="1"/>
    <col min="800" max="800" width="16.33203125" bestFit="1" customWidth="1"/>
    <col min="801" max="801" width="56.6640625" bestFit="1" customWidth="1"/>
    <col min="802" max="802" width="16.33203125" bestFit="1" customWidth="1"/>
    <col min="803" max="803" width="56.6640625" bestFit="1" customWidth="1"/>
    <col min="804" max="804" width="18.21875" bestFit="1" customWidth="1"/>
    <col min="805" max="805" width="13.77734375" bestFit="1" customWidth="1"/>
    <col min="806" max="807" width="11.77734375" bestFit="1" customWidth="1"/>
    <col min="808" max="808" width="41.6640625" bestFit="1" customWidth="1"/>
    <col min="809" max="809" width="12.77734375" bestFit="1" customWidth="1"/>
    <col min="810" max="810" width="45.44140625" bestFit="1" customWidth="1"/>
    <col min="811" max="811" width="30" bestFit="1" customWidth="1"/>
    <col min="812" max="812" width="37.88671875" bestFit="1" customWidth="1"/>
    <col min="813" max="813" width="42.6640625" bestFit="1" customWidth="1"/>
    <col min="814" max="814" width="35.44140625" bestFit="1" customWidth="1"/>
    <col min="815" max="815" width="34" bestFit="1" customWidth="1"/>
    <col min="816" max="816" width="45.6640625" bestFit="1" customWidth="1"/>
    <col min="817" max="817" width="16.21875" bestFit="1" customWidth="1"/>
    <col min="818" max="818" width="42.44140625" bestFit="1" customWidth="1"/>
    <col min="819" max="819" width="17.21875" bestFit="1" customWidth="1"/>
    <col min="820" max="820" width="33.77734375" bestFit="1" customWidth="1"/>
    <col min="821" max="821" width="20.77734375" bestFit="1" customWidth="1"/>
    <col min="822" max="822" width="26.33203125" bestFit="1" customWidth="1"/>
    <col min="823" max="823" width="15" bestFit="1" customWidth="1"/>
    <col min="824" max="824" width="11.77734375" bestFit="1" customWidth="1"/>
    <col min="825" max="825" width="13.21875" bestFit="1" customWidth="1"/>
    <col min="826" max="826" width="26.33203125" bestFit="1" customWidth="1"/>
    <col min="827" max="828" width="11.77734375" bestFit="1" customWidth="1"/>
    <col min="829" max="829" width="22.33203125" bestFit="1" customWidth="1"/>
    <col min="830" max="830" width="22.77734375" bestFit="1" customWidth="1"/>
    <col min="831" max="832" width="11.77734375" bestFit="1" customWidth="1"/>
    <col min="833" max="833" width="22.33203125" bestFit="1" customWidth="1"/>
    <col min="834" max="834" width="18" bestFit="1" customWidth="1"/>
    <col min="835" max="836" width="11.77734375" bestFit="1" customWidth="1"/>
    <col min="837" max="837" width="22.33203125" bestFit="1" customWidth="1"/>
    <col min="838" max="838" width="27.21875" bestFit="1" customWidth="1"/>
    <col min="839" max="840" width="11.77734375" bestFit="1" customWidth="1"/>
    <col min="841" max="841" width="22.77734375" bestFit="1" customWidth="1"/>
    <col min="842" max="842" width="22.88671875" bestFit="1" customWidth="1"/>
    <col min="843" max="844" width="11.77734375" bestFit="1" customWidth="1"/>
    <col min="845" max="845" width="22.77734375" bestFit="1" customWidth="1"/>
    <col min="846" max="846" width="11.77734375" bestFit="1" customWidth="1"/>
    <col min="847" max="847" width="56.6640625" bestFit="1" customWidth="1"/>
    <col min="848" max="848" width="15" bestFit="1" customWidth="1"/>
    <col min="849" max="849" width="11.77734375" bestFit="1" customWidth="1"/>
    <col min="850" max="850" width="13.21875" bestFit="1" customWidth="1"/>
    <col min="851" max="851" width="26.33203125" bestFit="1" customWidth="1"/>
    <col min="852" max="853" width="11.77734375" bestFit="1" customWidth="1"/>
    <col min="854" max="854" width="22.33203125" bestFit="1" customWidth="1"/>
    <col min="855" max="855" width="15.21875" bestFit="1" customWidth="1"/>
    <col min="856" max="856" width="22.77734375" bestFit="1" customWidth="1"/>
    <col min="857" max="858" width="11.77734375" bestFit="1" customWidth="1"/>
    <col min="859" max="859" width="22.33203125" bestFit="1" customWidth="1"/>
    <col min="860" max="860" width="15.21875" bestFit="1" customWidth="1"/>
    <col min="861" max="861" width="18" bestFit="1" customWidth="1"/>
    <col min="862" max="863" width="11.77734375" bestFit="1" customWidth="1"/>
    <col min="864" max="864" width="22.33203125" bestFit="1" customWidth="1"/>
    <col min="865" max="865" width="15.21875" bestFit="1" customWidth="1"/>
    <col min="866" max="866" width="27.21875" bestFit="1" customWidth="1"/>
    <col min="867" max="868" width="11.77734375" bestFit="1" customWidth="1"/>
    <col min="869" max="869" width="22.33203125" bestFit="1" customWidth="1"/>
    <col min="870" max="870" width="15.21875" bestFit="1" customWidth="1"/>
    <col min="871" max="871" width="22.88671875" bestFit="1" customWidth="1"/>
    <col min="872" max="873" width="11.77734375" bestFit="1" customWidth="1"/>
    <col min="874" max="874" width="22.33203125" bestFit="1" customWidth="1"/>
    <col min="875" max="875" width="15.21875" bestFit="1" customWidth="1"/>
    <col min="876" max="876" width="11.77734375" bestFit="1" customWidth="1"/>
    <col min="877" max="877" width="56.6640625" bestFit="1" customWidth="1"/>
    <col min="878" max="878" width="11.77734375" bestFit="1" customWidth="1"/>
    <col min="879" max="879" width="46.21875" bestFit="1" customWidth="1"/>
    <col min="880" max="881" width="56.6640625" bestFit="1" customWidth="1"/>
    <col min="882" max="882" width="11.77734375" bestFit="1" customWidth="1"/>
    <col min="883" max="883" width="43.5546875" bestFit="1" customWidth="1"/>
    <col min="884" max="885" width="56.6640625" bestFit="1" customWidth="1"/>
    <col min="886" max="886" width="11.77734375" bestFit="1" customWidth="1"/>
    <col min="887" max="887" width="43.5546875" bestFit="1" customWidth="1"/>
    <col min="888" max="889" width="56.6640625" bestFit="1" customWidth="1"/>
    <col min="890" max="890" width="11.77734375" bestFit="1" customWidth="1"/>
    <col min="891" max="891" width="40.5546875" bestFit="1" customWidth="1"/>
    <col min="892" max="893" width="56.6640625" bestFit="1" customWidth="1"/>
    <col min="894" max="894" width="11.77734375" bestFit="1" customWidth="1"/>
    <col min="895" max="895" width="40.5546875" bestFit="1" customWidth="1"/>
    <col min="896" max="897" width="56.6640625" bestFit="1" customWidth="1"/>
    <col min="898" max="898" width="12.77734375" bestFit="1" customWidth="1"/>
    <col min="899" max="899" width="40.5546875" bestFit="1" customWidth="1"/>
    <col min="900" max="901" width="56.6640625" bestFit="1" customWidth="1"/>
    <col min="902" max="902" width="12.77734375" bestFit="1" customWidth="1"/>
    <col min="903" max="903" width="55.109375" bestFit="1" customWidth="1"/>
    <col min="904" max="905" width="56.6640625" bestFit="1" customWidth="1"/>
    <col min="906" max="906" width="12.77734375" bestFit="1" customWidth="1"/>
    <col min="907" max="907" width="40.5546875" bestFit="1" customWidth="1"/>
    <col min="908" max="909" width="56.6640625" bestFit="1" customWidth="1"/>
    <col min="910" max="910" width="12.77734375" bestFit="1" customWidth="1"/>
    <col min="911" max="911" width="40.5546875" bestFit="1" customWidth="1"/>
    <col min="912" max="913" width="56.6640625" bestFit="1" customWidth="1"/>
    <col min="914" max="914" width="12.77734375" bestFit="1" customWidth="1"/>
    <col min="915" max="915" width="46.21875" bestFit="1" customWidth="1"/>
    <col min="916" max="917" width="56.6640625" bestFit="1" customWidth="1"/>
    <col min="918" max="918" width="12.77734375" bestFit="1" customWidth="1"/>
    <col min="919" max="919" width="40.5546875" bestFit="1" customWidth="1"/>
    <col min="920" max="921" width="56.6640625" bestFit="1" customWidth="1"/>
    <col min="922" max="922" width="12.77734375" bestFit="1" customWidth="1"/>
    <col min="923" max="925" width="56.6640625" bestFit="1" customWidth="1"/>
    <col min="926" max="926" width="12.77734375" bestFit="1" customWidth="1"/>
    <col min="927" max="927" width="43.5546875" bestFit="1" customWidth="1"/>
    <col min="928" max="929" width="56.6640625" bestFit="1" customWidth="1"/>
    <col min="930" max="930" width="12.77734375" bestFit="1" customWidth="1"/>
    <col min="931" max="933" width="56.6640625" bestFit="1" customWidth="1"/>
    <col min="934" max="934" width="12.77734375" bestFit="1" customWidth="1"/>
    <col min="935" max="935" width="34.5546875" bestFit="1" customWidth="1"/>
    <col min="936" max="937" width="56.6640625" bestFit="1" customWidth="1"/>
    <col min="938" max="938" width="12.77734375" bestFit="1" customWidth="1"/>
    <col min="939" max="939" width="40.5546875" bestFit="1" customWidth="1"/>
    <col min="940" max="941" width="56.6640625" bestFit="1" customWidth="1"/>
    <col min="942" max="942" width="12.77734375" bestFit="1" customWidth="1"/>
    <col min="943" max="943" width="29.109375" bestFit="1" customWidth="1"/>
    <col min="944" max="945" width="56.6640625" bestFit="1" customWidth="1"/>
    <col min="946" max="946" width="12.77734375" bestFit="1" customWidth="1"/>
    <col min="947" max="947" width="40.5546875" bestFit="1" customWidth="1"/>
    <col min="948" max="949" width="56.6640625" bestFit="1" customWidth="1"/>
    <col min="950" max="950" width="12.77734375" bestFit="1" customWidth="1"/>
    <col min="951" max="951" width="40.5546875" bestFit="1" customWidth="1"/>
    <col min="952" max="952" width="52.21875" bestFit="1" customWidth="1"/>
    <col min="953" max="953" width="56.6640625" bestFit="1" customWidth="1"/>
    <col min="954" max="954" width="12.77734375" bestFit="1" customWidth="1"/>
    <col min="955" max="955" width="26.6640625" bestFit="1" customWidth="1"/>
    <col min="956" max="956" width="56.6640625" bestFit="1" customWidth="1"/>
    <col min="957" max="957" width="53.88671875" bestFit="1" customWidth="1"/>
    <col min="958" max="958" width="12.77734375" bestFit="1" customWidth="1"/>
    <col min="959" max="959" width="21.21875" bestFit="1" customWidth="1"/>
    <col min="960" max="960" width="56.6640625" bestFit="1" customWidth="1"/>
    <col min="961" max="961" width="31" bestFit="1" customWidth="1"/>
    <col min="962" max="962" width="12.77734375" bestFit="1" customWidth="1"/>
    <col min="963" max="963" width="21.21875" bestFit="1" customWidth="1"/>
    <col min="964" max="964" width="56.6640625" bestFit="1" customWidth="1"/>
    <col min="965" max="965" width="38.21875" bestFit="1" customWidth="1"/>
    <col min="966" max="966" width="12.77734375" bestFit="1" customWidth="1"/>
    <col min="967" max="967" width="21.21875" bestFit="1" customWidth="1"/>
    <col min="968" max="969" width="56.6640625" bestFit="1" customWidth="1"/>
    <col min="970" max="970" width="12.77734375" bestFit="1" customWidth="1"/>
    <col min="971" max="971" width="21.21875" bestFit="1" customWidth="1"/>
    <col min="972" max="972" width="56.6640625" bestFit="1" customWidth="1"/>
    <col min="973" max="973" width="31" bestFit="1" customWidth="1"/>
    <col min="974" max="974" width="12.77734375" bestFit="1" customWidth="1"/>
    <col min="975" max="975" width="56.6640625" bestFit="1" customWidth="1"/>
    <col min="976" max="976" width="35.77734375" bestFit="1" customWidth="1"/>
    <col min="977" max="977" width="12.77734375" bestFit="1" customWidth="1"/>
    <col min="978" max="978" width="56.6640625" bestFit="1" customWidth="1"/>
    <col min="979" max="979" width="53.44140625" bestFit="1" customWidth="1"/>
    <col min="980" max="980" width="12.77734375" bestFit="1" customWidth="1"/>
    <col min="981" max="981" width="56.6640625" bestFit="1" customWidth="1"/>
    <col min="982" max="982" width="40.21875" bestFit="1" customWidth="1"/>
    <col min="983" max="983" width="12.77734375" bestFit="1" customWidth="1"/>
    <col min="984" max="984" width="56.6640625" bestFit="1" customWidth="1"/>
    <col min="985" max="985" width="34.33203125" bestFit="1" customWidth="1"/>
    <col min="986" max="986" width="12.77734375" bestFit="1" customWidth="1"/>
    <col min="987" max="987" width="56.6640625" bestFit="1" customWidth="1"/>
    <col min="988" max="988" width="38.44140625" bestFit="1" customWidth="1"/>
    <col min="989" max="989" width="12.77734375" bestFit="1" customWidth="1"/>
    <col min="990" max="990" width="56.6640625" bestFit="1" customWidth="1"/>
    <col min="991" max="991" width="43.77734375" bestFit="1" customWidth="1"/>
    <col min="992" max="992" width="12.77734375" bestFit="1" customWidth="1"/>
    <col min="993" max="993" width="56.6640625" bestFit="1" customWidth="1"/>
    <col min="994" max="994" width="39.109375" bestFit="1" customWidth="1"/>
    <col min="995" max="995" width="12.77734375" bestFit="1" customWidth="1"/>
    <col min="996" max="996" width="56.6640625" bestFit="1" customWidth="1"/>
    <col min="997" max="997" width="39.88671875" bestFit="1" customWidth="1"/>
    <col min="998" max="998" width="12.77734375" bestFit="1" customWidth="1"/>
    <col min="999" max="999" width="56.6640625" bestFit="1" customWidth="1"/>
    <col min="1000" max="1000" width="44.5546875" bestFit="1" customWidth="1"/>
    <col min="1001" max="1001" width="12.77734375" bestFit="1" customWidth="1"/>
    <col min="1002" max="1002" width="56.6640625" bestFit="1" customWidth="1"/>
    <col min="1003" max="1003" width="24.88671875" bestFit="1" customWidth="1"/>
    <col min="1004" max="1004" width="12.77734375" bestFit="1" customWidth="1"/>
    <col min="1005" max="1005" width="56.6640625" bestFit="1" customWidth="1"/>
    <col min="1006" max="1006" width="24.88671875" bestFit="1" customWidth="1"/>
    <col min="1007" max="1007" width="12.77734375" bestFit="1" customWidth="1"/>
    <col min="1008" max="1008" width="56.6640625" bestFit="1" customWidth="1"/>
    <col min="1009" max="1009" width="44.5546875" bestFit="1" customWidth="1"/>
    <col min="1010" max="1010" width="12.77734375" bestFit="1" customWidth="1"/>
    <col min="1011" max="1011" width="56.6640625" bestFit="1" customWidth="1"/>
    <col min="1012" max="1012" width="40.6640625" bestFit="1" customWidth="1"/>
    <col min="1013" max="1013" width="12.77734375" bestFit="1" customWidth="1"/>
    <col min="1014" max="1014" width="56.6640625" bestFit="1" customWidth="1"/>
    <col min="1015" max="1015" width="32.21875" bestFit="1" customWidth="1"/>
    <col min="1016" max="1016" width="12.77734375" bestFit="1" customWidth="1"/>
    <col min="1017" max="1017" width="56.6640625" bestFit="1" customWidth="1"/>
    <col min="1018" max="1018" width="26.21875" bestFit="1" customWidth="1"/>
    <col min="1019" max="1019" width="12.77734375" bestFit="1" customWidth="1"/>
    <col min="1020" max="1020" width="56.6640625" bestFit="1" customWidth="1"/>
    <col min="1021" max="1021" width="24.88671875" bestFit="1" customWidth="1"/>
    <col min="1022" max="1022" width="12.77734375" bestFit="1" customWidth="1"/>
    <col min="1023" max="1023" width="56.6640625" bestFit="1" customWidth="1"/>
    <col min="1024" max="1024" width="23.21875" bestFit="1" customWidth="1"/>
    <col min="1025" max="1025" width="12.77734375" bestFit="1" customWidth="1"/>
    <col min="1026" max="1026" width="56.6640625" bestFit="1" customWidth="1"/>
    <col min="1027" max="1027" width="23.21875" bestFit="1" customWidth="1"/>
    <col min="1028" max="1028" width="12.77734375" bestFit="1" customWidth="1"/>
    <col min="1029" max="1029" width="56.6640625" bestFit="1" customWidth="1"/>
    <col min="1030" max="1030" width="39.109375" bestFit="1" customWidth="1"/>
    <col min="1031" max="1031" width="12.77734375" bestFit="1" customWidth="1"/>
    <col min="1032" max="1032" width="56.6640625" bestFit="1" customWidth="1"/>
    <col min="1033" max="1033" width="25.77734375" bestFit="1" customWidth="1"/>
    <col min="1034" max="1034" width="12.77734375" bestFit="1" customWidth="1"/>
    <col min="1035" max="1035" width="56.6640625" bestFit="1" customWidth="1"/>
    <col min="1036" max="1036" width="35.5546875" bestFit="1" customWidth="1"/>
    <col min="1037" max="1037" width="12.77734375" bestFit="1" customWidth="1"/>
    <col min="1038" max="1038" width="56.6640625" bestFit="1" customWidth="1"/>
    <col min="1039" max="1039" width="23.21875" bestFit="1" customWidth="1"/>
    <col min="1040" max="1040" width="12.77734375" bestFit="1" customWidth="1"/>
    <col min="1041" max="1041" width="56.6640625" bestFit="1" customWidth="1"/>
    <col min="1042" max="1042" width="23.21875" bestFit="1" customWidth="1"/>
    <col min="1043" max="1043" width="12.77734375" bestFit="1" customWidth="1"/>
    <col min="1044" max="1044" width="56.6640625" bestFit="1" customWidth="1"/>
    <col min="1045" max="1045" width="23.21875" bestFit="1" customWidth="1"/>
    <col min="1046" max="1046" width="12.77734375" bestFit="1" customWidth="1"/>
    <col min="1047" max="1047" width="56.6640625" bestFit="1" customWidth="1"/>
    <col min="1048" max="1048" width="23.21875" bestFit="1" customWidth="1"/>
    <col min="1049" max="1049" width="12.77734375" bestFit="1" customWidth="1"/>
    <col min="1050" max="1050" width="56.6640625" bestFit="1" customWidth="1"/>
    <col min="1051" max="1051" width="23.21875" bestFit="1" customWidth="1"/>
    <col min="1052" max="1052" width="12.77734375" bestFit="1" customWidth="1"/>
    <col min="1053" max="1053" width="56.6640625" bestFit="1" customWidth="1"/>
    <col min="1054" max="1054" width="23.21875" bestFit="1" customWidth="1"/>
    <col min="1055" max="1055" width="12.77734375" bestFit="1" customWidth="1"/>
    <col min="1056" max="1056" width="56.6640625" bestFit="1" customWidth="1"/>
    <col min="1057" max="1057" width="23.21875" bestFit="1" customWidth="1"/>
    <col min="1058" max="1058" width="12.77734375" bestFit="1" customWidth="1"/>
    <col min="1059" max="1059" width="56.6640625" bestFit="1" customWidth="1"/>
    <col min="1060" max="1060" width="23.21875" bestFit="1" customWidth="1"/>
    <col min="1061" max="1061" width="12.77734375" bestFit="1" customWidth="1"/>
    <col min="1062" max="1062" width="56.6640625" bestFit="1" customWidth="1"/>
    <col min="1063" max="1063" width="23.21875" bestFit="1" customWidth="1"/>
    <col min="1064" max="1064" width="12.77734375" bestFit="1" customWidth="1"/>
    <col min="1065" max="1065" width="56.6640625" bestFit="1" customWidth="1"/>
    <col min="1066" max="1066" width="23.21875" bestFit="1" customWidth="1"/>
    <col min="1067" max="1067" width="12.77734375" bestFit="1" customWidth="1"/>
    <col min="1068" max="1068" width="33.44140625" bestFit="1" customWidth="1"/>
    <col min="1069" max="1069" width="23.21875" bestFit="1" customWidth="1"/>
    <col min="1070" max="1070" width="12.77734375" bestFit="1" customWidth="1"/>
    <col min="1071" max="1071" width="30.21875" bestFit="1" customWidth="1"/>
    <col min="1072" max="1072" width="23.21875" bestFit="1" customWidth="1"/>
    <col min="1073" max="1073" width="12.77734375" bestFit="1" customWidth="1"/>
    <col min="1074" max="1074" width="56.6640625" bestFit="1" customWidth="1"/>
    <col min="1075" max="1075" width="12.77734375" bestFit="1" customWidth="1"/>
    <col min="1076" max="1076" width="56.6640625" bestFit="1" customWidth="1"/>
    <col min="1077" max="1077" width="12.77734375" bestFit="1" customWidth="1"/>
    <col min="1078" max="1078" width="56.6640625" bestFit="1" customWidth="1"/>
    <col min="1079" max="1079" width="12.77734375" bestFit="1" customWidth="1"/>
    <col min="1080" max="1080" width="56.6640625" bestFit="1" customWidth="1"/>
    <col min="1081" max="1081" width="12.77734375" bestFit="1" customWidth="1"/>
    <col min="1082" max="1082" width="56.6640625" bestFit="1" customWidth="1"/>
    <col min="1083" max="1083" width="12.77734375" bestFit="1" customWidth="1"/>
    <col min="1084" max="1084" width="56.6640625" bestFit="1" customWidth="1"/>
    <col min="1085" max="1085" width="12.77734375" bestFit="1" customWidth="1"/>
    <col min="1086" max="1086" width="56.6640625" bestFit="1" customWidth="1"/>
    <col min="1087" max="1087" width="12.77734375" bestFit="1" customWidth="1"/>
    <col min="1088" max="1088" width="56.6640625" bestFit="1" customWidth="1"/>
    <col min="1089" max="1089" width="12.77734375" bestFit="1" customWidth="1"/>
    <col min="1090" max="1090" width="56.6640625" bestFit="1" customWidth="1"/>
    <col min="1091" max="1091" width="12.77734375" bestFit="1" customWidth="1"/>
    <col min="1092" max="1092" width="56.6640625" bestFit="1" customWidth="1"/>
    <col min="1093" max="1093" width="12.77734375" bestFit="1" customWidth="1"/>
    <col min="1094" max="1094" width="56.6640625" bestFit="1" customWidth="1"/>
    <col min="1095" max="1095" width="12.77734375" bestFit="1" customWidth="1"/>
    <col min="1096" max="1106" width="56.6640625" bestFit="1" customWidth="1"/>
    <col min="1107" max="1108" width="12.77734375" bestFit="1" customWidth="1"/>
    <col min="1109" max="1110" width="18.21875" bestFit="1" customWidth="1"/>
    <col min="1111" max="1111" width="12.77734375" bestFit="1" customWidth="1"/>
    <col min="1112" max="1112" width="19" bestFit="1" customWidth="1"/>
    <col min="1113" max="1113" width="28.21875" bestFit="1" customWidth="1"/>
    <col min="1114" max="1114" width="19" bestFit="1" customWidth="1"/>
    <col min="1115" max="1115" width="20.109375" bestFit="1" customWidth="1"/>
    <col min="1116" max="1116" width="19" bestFit="1" customWidth="1"/>
    <col min="1117" max="1117" width="13.44140625" bestFit="1" customWidth="1"/>
    <col min="1118" max="1118" width="19" bestFit="1" customWidth="1"/>
    <col min="1119" max="1119" width="18.6640625" bestFit="1" customWidth="1"/>
    <col min="1120" max="1120" width="19" bestFit="1" customWidth="1"/>
    <col min="1121" max="1121" width="20" bestFit="1" customWidth="1"/>
    <col min="1122" max="1122" width="19" bestFit="1" customWidth="1"/>
    <col min="1123" max="1123" width="31.5546875" bestFit="1" customWidth="1"/>
    <col min="1124" max="1124" width="37.77734375" bestFit="1" customWidth="1"/>
    <col min="1125" max="1125" width="56.6640625" bestFit="1" customWidth="1"/>
  </cols>
  <sheetData>
    <row r="1" spans="1:52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26</v>
      </c>
      <c r="AM1" t="s">
        <v>62</v>
      </c>
      <c r="AN1" t="s">
        <v>63</v>
      </c>
      <c r="AO1" t="s">
        <v>64</v>
      </c>
      <c r="AP1" t="s">
        <v>65</v>
      </c>
      <c r="AQ1" t="s">
        <v>66</v>
      </c>
      <c r="AR1" t="s">
        <v>67</v>
      </c>
      <c r="AS1" t="s">
        <v>68</v>
      </c>
      <c r="AT1" t="s">
        <v>69</v>
      </c>
      <c r="AU1" t="s">
        <v>70</v>
      </c>
      <c r="AV1" t="s">
        <v>71</v>
      </c>
      <c r="AW1" t="s">
        <v>72</v>
      </c>
      <c r="AX1" t="s">
        <v>73</v>
      </c>
      <c r="AY1" t="s">
        <v>151</v>
      </c>
      <c r="AZ1" t="s">
        <v>152</v>
      </c>
    </row>
    <row r="2" spans="1:52" x14ac:dyDescent="0.3">
      <c r="A2" t="s">
        <v>173</v>
      </c>
      <c r="B2" t="s">
        <v>174</v>
      </c>
      <c r="C2" t="s">
        <v>175</v>
      </c>
      <c r="D2" t="s">
        <v>176</v>
      </c>
      <c r="E2" t="s">
        <v>177</v>
      </c>
      <c r="F2" t="s">
        <v>178</v>
      </c>
      <c r="G2" s="34">
        <v>41553</v>
      </c>
      <c r="H2" t="s">
        <v>44</v>
      </c>
      <c r="I2" t="s">
        <v>0</v>
      </c>
      <c r="J2" t="s">
        <v>179</v>
      </c>
      <c r="K2" t="s">
        <v>180</v>
      </c>
      <c r="L2" t="s">
        <v>181</v>
      </c>
      <c r="M2" t="s">
        <v>182</v>
      </c>
      <c r="N2" t="s">
        <v>183</v>
      </c>
      <c r="O2" t="s">
        <v>184</v>
      </c>
      <c r="P2" t="s">
        <v>185</v>
      </c>
      <c r="Q2" t="s">
        <v>186</v>
      </c>
      <c r="R2" t="s">
        <v>187</v>
      </c>
      <c r="S2" t="s">
        <v>188</v>
      </c>
      <c r="T2" t="s">
        <v>189</v>
      </c>
      <c r="U2" t="s">
        <v>190</v>
      </c>
      <c r="V2" t="s">
        <v>191</v>
      </c>
      <c r="W2" t="s">
        <v>192</v>
      </c>
      <c r="X2" t="s">
        <v>192</v>
      </c>
      <c r="Y2">
        <v>61</v>
      </c>
      <c r="Z2" t="s">
        <v>193</v>
      </c>
      <c r="AB2" t="s">
        <v>0</v>
      </c>
      <c r="AD2" t="s">
        <v>0</v>
      </c>
      <c r="AF2" t="s">
        <v>0</v>
      </c>
      <c r="AG2">
        <v>70</v>
      </c>
      <c r="AH2" t="s">
        <v>0</v>
      </c>
      <c r="AJ2" t="s">
        <v>194</v>
      </c>
      <c r="AK2" t="s">
        <v>195</v>
      </c>
      <c r="AL2">
        <v>62</v>
      </c>
      <c r="AM2" t="s">
        <v>196</v>
      </c>
      <c r="AO2" t="s">
        <v>197</v>
      </c>
      <c r="AQ2" t="s">
        <v>198</v>
      </c>
      <c r="AS2" t="s">
        <v>199</v>
      </c>
      <c r="AU2" t="s">
        <v>0</v>
      </c>
      <c r="AW2" t="s">
        <v>194</v>
      </c>
      <c r="AX2" t="s">
        <v>550</v>
      </c>
      <c r="AY2" t="s">
        <v>201</v>
      </c>
      <c r="AZ2" t="s">
        <v>202</v>
      </c>
    </row>
    <row r="3" spans="1:52" x14ac:dyDescent="0.3">
      <c r="A3" t="s">
        <v>203</v>
      </c>
      <c r="B3" t="s">
        <v>204</v>
      </c>
      <c r="C3" t="s">
        <v>175</v>
      </c>
      <c r="D3" t="s">
        <v>47</v>
      </c>
      <c r="E3" t="s">
        <v>205</v>
      </c>
      <c r="F3" t="s">
        <v>178</v>
      </c>
      <c r="G3" s="34">
        <v>41196</v>
      </c>
      <c r="H3" t="s">
        <v>38</v>
      </c>
      <c r="I3" t="s">
        <v>206</v>
      </c>
      <c r="J3" t="s">
        <v>207</v>
      </c>
      <c r="K3" t="s">
        <v>208</v>
      </c>
      <c r="L3" t="s">
        <v>209</v>
      </c>
      <c r="M3" t="s">
        <v>210</v>
      </c>
      <c r="N3" t="s">
        <v>211</v>
      </c>
      <c r="O3" t="s">
        <v>212</v>
      </c>
      <c r="P3" t="s">
        <v>213</v>
      </c>
      <c r="Q3" t="s">
        <v>214</v>
      </c>
      <c r="R3" t="s">
        <v>187</v>
      </c>
      <c r="S3" t="s">
        <v>215</v>
      </c>
      <c r="T3" t="s">
        <v>189</v>
      </c>
      <c r="U3" t="s">
        <v>216</v>
      </c>
      <c r="V3" t="s">
        <v>191</v>
      </c>
      <c r="W3" t="s">
        <v>192</v>
      </c>
      <c r="X3" t="s">
        <v>192</v>
      </c>
      <c r="Y3">
        <v>80</v>
      </c>
      <c r="Z3" t="s">
        <v>217</v>
      </c>
      <c r="AB3" t="s">
        <v>0</v>
      </c>
      <c r="AD3" t="s">
        <v>0</v>
      </c>
      <c r="AF3" t="s">
        <v>0</v>
      </c>
      <c r="AG3">
        <v>74</v>
      </c>
      <c r="AH3" t="s">
        <v>0</v>
      </c>
      <c r="AJ3" t="s">
        <v>218</v>
      </c>
      <c r="AK3" t="s">
        <v>219</v>
      </c>
      <c r="AL3">
        <v>68</v>
      </c>
      <c r="AM3" t="s">
        <v>220</v>
      </c>
      <c r="AO3" t="s">
        <v>221</v>
      </c>
      <c r="AQ3" t="s">
        <v>222</v>
      </c>
      <c r="AS3" t="s">
        <v>223</v>
      </c>
      <c r="AU3" t="s">
        <v>0</v>
      </c>
      <c r="AW3" t="s">
        <v>224</v>
      </c>
      <c r="AX3" t="s">
        <v>550</v>
      </c>
      <c r="AY3" t="s">
        <v>201</v>
      </c>
      <c r="AZ3" t="s">
        <v>202</v>
      </c>
    </row>
    <row r="4" spans="1:52" x14ac:dyDescent="0.3">
      <c r="A4" t="s">
        <v>226</v>
      </c>
      <c r="B4" t="s">
        <v>227</v>
      </c>
      <c r="C4" t="s">
        <v>228</v>
      </c>
      <c r="D4" t="s">
        <v>47</v>
      </c>
      <c r="E4" t="s">
        <v>177</v>
      </c>
      <c r="F4" t="s">
        <v>178</v>
      </c>
      <c r="G4" s="34">
        <v>41191</v>
      </c>
      <c r="H4" t="s">
        <v>38</v>
      </c>
      <c r="I4" t="s">
        <v>206</v>
      </c>
      <c r="J4" t="s">
        <v>229</v>
      </c>
      <c r="K4" t="s">
        <v>230</v>
      </c>
      <c r="L4" t="s">
        <v>231</v>
      </c>
      <c r="M4" t="s">
        <v>232</v>
      </c>
      <c r="N4" t="s">
        <v>233</v>
      </c>
      <c r="O4" t="s">
        <v>234</v>
      </c>
      <c r="P4" t="s">
        <v>235</v>
      </c>
      <c r="Q4" t="s">
        <v>236</v>
      </c>
      <c r="R4" t="s">
        <v>187</v>
      </c>
      <c r="S4" t="s">
        <v>237</v>
      </c>
      <c r="T4" t="s">
        <v>189</v>
      </c>
      <c r="U4" t="s">
        <v>238</v>
      </c>
      <c r="V4" t="s">
        <v>191</v>
      </c>
      <c r="W4" t="s">
        <v>192</v>
      </c>
      <c r="X4" t="s">
        <v>192</v>
      </c>
      <c r="Y4">
        <v>83</v>
      </c>
      <c r="Z4" t="s">
        <v>221</v>
      </c>
      <c r="AB4" t="s">
        <v>0</v>
      </c>
      <c r="AD4" t="s">
        <v>0</v>
      </c>
      <c r="AF4" t="s">
        <v>0</v>
      </c>
      <c r="AG4">
        <v>60</v>
      </c>
      <c r="AH4" t="s">
        <v>0</v>
      </c>
      <c r="AJ4" t="s">
        <v>194</v>
      </c>
      <c r="AK4" t="s">
        <v>195</v>
      </c>
      <c r="AL4">
        <v>64</v>
      </c>
      <c r="AM4" t="s">
        <v>239</v>
      </c>
      <c r="AO4" t="s">
        <v>240</v>
      </c>
      <c r="AQ4" t="s">
        <v>198</v>
      </c>
      <c r="AS4" t="s">
        <v>241</v>
      </c>
      <c r="AU4" t="s">
        <v>0</v>
      </c>
      <c r="AW4" t="s">
        <v>194</v>
      </c>
      <c r="AX4" t="s">
        <v>550</v>
      </c>
      <c r="AY4" t="s">
        <v>201</v>
      </c>
      <c r="AZ4" t="s">
        <v>202</v>
      </c>
    </row>
    <row r="5" spans="1:52" x14ac:dyDescent="0.3">
      <c r="A5" t="s">
        <v>243</v>
      </c>
      <c r="B5" t="s">
        <v>244</v>
      </c>
      <c r="C5" t="s">
        <v>175</v>
      </c>
      <c r="D5" t="s">
        <v>41</v>
      </c>
      <c r="E5" t="s">
        <v>177</v>
      </c>
      <c r="F5" t="s">
        <v>178</v>
      </c>
      <c r="G5" s="34">
        <v>41353</v>
      </c>
      <c r="H5" t="s">
        <v>38</v>
      </c>
      <c r="I5" t="s">
        <v>201</v>
      </c>
      <c r="J5" t="s">
        <v>245</v>
      </c>
      <c r="K5" t="s">
        <v>246</v>
      </c>
      <c r="L5" t="s">
        <v>247</v>
      </c>
      <c r="M5" t="s">
        <v>248</v>
      </c>
      <c r="N5" t="s">
        <v>249</v>
      </c>
      <c r="O5" t="s">
        <v>250</v>
      </c>
      <c r="P5" t="s">
        <v>251</v>
      </c>
      <c r="Q5" t="s">
        <v>252</v>
      </c>
      <c r="R5" t="s">
        <v>187</v>
      </c>
      <c r="S5" t="s">
        <v>253</v>
      </c>
      <c r="T5" t="s">
        <v>189</v>
      </c>
      <c r="U5" t="s">
        <v>254</v>
      </c>
      <c r="V5" t="s">
        <v>191</v>
      </c>
      <c r="W5" t="s">
        <v>192</v>
      </c>
      <c r="X5" t="s">
        <v>192</v>
      </c>
      <c r="Y5">
        <v>62</v>
      </c>
      <c r="Z5" t="s">
        <v>193</v>
      </c>
      <c r="AB5" t="s">
        <v>0</v>
      </c>
      <c r="AD5" t="s">
        <v>0</v>
      </c>
      <c r="AF5" t="s">
        <v>0</v>
      </c>
      <c r="AG5">
        <v>70</v>
      </c>
      <c r="AH5" t="s">
        <v>0</v>
      </c>
      <c r="AJ5" t="s">
        <v>218</v>
      </c>
      <c r="AK5" t="s">
        <v>255</v>
      </c>
      <c r="AL5">
        <v>67</v>
      </c>
      <c r="AM5" t="s">
        <v>256</v>
      </c>
      <c r="AO5" t="s">
        <v>257</v>
      </c>
      <c r="AQ5" t="s">
        <v>239</v>
      </c>
      <c r="AS5" t="s">
        <v>258</v>
      </c>
      <c r="AU5" t="s">
        <v>0</v>
      </c>
      <c r="AW5" t="s">
        <v>224</v>
      </c>
      <c r="AX5" t="s">
        <v>551</v>
      </c>
      <c r="AY5" t="s">
        <v>201</v>
      </c>
      <c r="AZ5" t="s">
        <v>202</v>
      </c>
    </row>
    <row r="6" spans="1:52" x14ac:dyDescent="0.3">
      <c r="A6" t="s">
        <v>259</v>
      </c>
      <c r="B6" t="s">
        <v>260</v>
      </c>
      <c r="C6" t="s">
        <v>228</v>
      </c>
      <c r="D6" t="s">
        <v>49</v>
      </c>
      <c r="E6" t="s">
        <v>0</v>
      </c>
      <c r="F6" t="s">
        <v>178</v>
      </c>
      <c r="G6" s="34">
        <v>41473</v>
      </c>
      <c r="H6" t="s">
        <v>44</v>
      </c>
      <c r="I6" t="s">
        <v>0</v>
      </c>
      <c r="J6" t="s">
        <v>261</v>
      </c>
      <c r="K6" t="s">
        <v>262</v>
      </c>
      <c r="L6" t="s">
        <v>263</v>
      </c>
      <c r="M6" t="s">
        <v>264</v>
      </c>
      <c r="N6" t="s">
        <v>265</v>
      </c>
      <c r="O6" t="s">
        <v>266</v>
      </c>
      <c r="P6" t="s">
        <v>267</v>
      </c>
      <c r="Q6" t="s">
        <v>268</v>
      </c>
      <c r="R6" t="s">
        <v>187</v>
      </c>
      <c r="S6" t="s">
        <v>269</v>
      </c>
      <c r="T6" t="s">
        <v>189</v>
      </c>
      <c r="U6" t="s">
        <v>270</v>
      </c>
      <c r="V6" t="s">
        <v>191</v>
      </c>
      <c r="W6" t="s">
        <v>192</v>
      </c>
      <c r="X6" t="s">
        <v>192</v>
      </c>
      <c r="Y6">
        <v>82</v>
      </c>
      <c r="Z6" t="s">
        <v>193</v>
      </c>
      <c r="AB6" t="s">
        <v>0</v>
      </c>
      <c r="AD6" t="s">
        <v>0</v>
      </c>
      <c r="AF6" t="s">
        <v>0</v>
      </c>
      <c r="AG6">
        <v>74</v>
      </c>
      <c r="AH6" t="s">
        <v>0</v>
      </c>
      <c r="AJ6" t="s">
        <v>224</v>
      </c>
      <c r="AK6" t="s">
        <v>195</v>
      </c>
      <c r="AL6">
        <v>88</v>
      </c>
      <c r="AM6" t="s">
        <v>256</v>
      </c>
      <c r="AO6" t="s">
        <v>199</v>
      </c>
      <c r="AQ6" t="s">
        <v>271</v>
      </c>
      <c r="AS6" t="s">
        <v>222</v>
      </c>
      <c r="AU6" t="s">
        <v>0</v>
      </c>
      <c r="AW6" t="s">
        <v>194</v>
      </c>
      <c r="AX6" t="s">
        <v>551</v>
      </c>
      <c r="AY6" t="s">
        <v>201</v>
      </c>
      <c r="AZ6" t="s">
        <v>202</v>
      </c>
    </row>
    <row r="7" spans="1:52" x14ac:dyDescent="0.3">
      <c r="A7" t="s">
        <v>272</v>
      </c>
      <c r="B7" t="s">
        <v>273</v>
      </c>
      <c r="C7" t="s">
        <v>228</v>
      </c>
      <c r="D7" t="s">
        <v>41</v>
      </c>
      <c r="E7" t="s">
        <v>274</v>
      </c>
      <c r="F7" t="s">
        <v>178</v>
      </c>
      <c r="G7" s="34">
        <v>41316</v>
      </c>
      <c r="H7" t="s">
        <v>44</v>
      </c>
      <c r="I7" t="s">
        <v>206</v>
      </c>
      <c r="J7" t="s">
        <v>275</v>
      </c>
      <c r="K7" t="s">
        <v>276</v>
      </c>
      <c r="L7" t="s">
        <v>277</v>
      </c>
      <c r="M7" t="s">
        <v>278</v>
      </c>
      <c r="N7" t="s">
        <v>279</v>
      </c>
      <c r="O7" t="s">
        <v>280</v>
      </c>
      <c r="P7" t="s">
        <v>281</v>
      </c>
      <c r="Q7" t="s">
        <v>282</v>
      </c>
      <c r="R7" t="s">
        <v>187</v>
      </c>
      <c r="S7" t="s">
        <v>283</v>
      </c>
      <c r="T7" t="s">
        <v>189</v>
      </c>
      <c r="U7" t="s">
        <v>284</v>
      </c>
      <c r="V7" t="s">
        <v>191</v>
      </c>
      <c r="W7" t="s">
        <v>192</v>
      </c>
      <c r="X7" t="s">
        <v>192</v>
      </c>
      <c r="Y7">
        <v>79</v>
      </c>
      <c r="Z7" t="s">
        <v>198</v>
      </c>
      <c r="AB7" t="s">
        <v>0</v>
      </c>
      <c r="AD7" t="s">
        <v>0</v>
      </c>
      <c r="AF7" t="s">
        <v>0</v>
      </c>
      <c r="AG7">
        <v>87</v>
      </c>
      <c r="AH7" t="s">
        <v>0</v>
      </c>
      <c r="AJ7" t="s">
        <v>194</v>
      </c>
      <c r="AK7" t="s">
        <v>255</v>
      </c>
      <c r="AL7">
        <v>74</v>
      </c>
      <c r="AM7" t="s">
        <v>258</v>
      </c>
      <c r="AO7" t="s">
        <v>198</v>
      </c>
      <c r="AQ7" t="s">
        <v>256</v>
      </c>
      <c r="AS7" t="s">
        <v>285</v>
      </c>
      <c r="AU7" t="s">
        <v>0</v>
      </c>
      <c r="AW7" t="s">
        <v>224</v>
      </c>
      <c r="AX7" t="s">
        <v>551</v>
      </c>
      <c r="AY7" t="s">
        <v>201</v>
      </c>
      <c r="AZ7" t="s">
        <v>202</v>
      </c>
    </row>
    <row r="8" spans="1:52" x14ac:dyDescent="0.3">
      <c r="A8" t="s">
        <v>286</v>
      </c>
      <c r="B8" t="s">
        <v>287</v>
      </c>
      <c r="C8" t="s">
        <v>175</v>
      </c>
      <c r="D8" t="s">
        <v>37</v>
      </c>
      <c r="E8" t="s">
        <v>0</v>
      </c>
      <c r="F8" t="s">
        <v>178</v>
      </c>
      <c r="G8" s="34">
        <v>41172</v>
      </c>
      <c r="H8" t="s">
        <v>38</v>
      </c>
      <c r="I8" t="s">
        <v>201</v>
      </c>
      <c r="J8" t="s">
        <v>288</v>
      </c>
      <c r="K8" t="s">
        <v>289</v>
      </c>
      <c r="L8" t="s">
        <v>290</v>
      </c>
      <c r="M8" t="s">
        <v>291</v>
      </c>
      <c r="N8" t="s">
        <v>292</v>
      </c>
      <c r="O8" t="s">
        <v>293</v>
      </c>
      <c r="P8" t="s">
        <v>294</v>
      </c>
      <c r="Q8" t="s">
        <v>295</v>
      </c>
      <c r="R8" t="s">
        <v>187</v>
      </c>
      <c r="S8" t="s">
        <v>296</v>
      </c>
      <c r="T8" t="s">
        <v>189</v>
      </c>
      <c r="U8" t="s">
        <v>297</v>
      </c>
      <c r="V8" t="s">
        <v>191</v>
      </c>
      <c r="W8" t="s">
        <v>192</v>
      </c>
      <c r="X8" t="s">
        <v>192</v>
      </c>
      <c r="Y8">
        <v>71</v>
      </c>
      <c r="Z8" t="s">
        <v>217</v>
      </c>
      <c r="AB8" t="s">
        <v>0</v>
      </c>
      <c r="AD8" t="s">
        <v>0</v>
      </c>
      <c r="AF8" t="s">
        <v>0</v>
      </c>
      <c r="AG8">
        <v>64</v>
      </c>
      <c r="AH8" t="s">
        <v>0</v>
      </c>
      <c r="AJ8" t="s">
        <v>194</v>
      </c>
      <c r="AK8" t="s">
        <v>195</v>
      </c>
      <c r="AL8">
        <v>63</v>
      </c>
      <c r="AM8" t="s">
        <v>298</v>
      </c>
      <c r="AO8" t="s">
        <v>299</v>
      </c>
      <c r="AQ8" t="s">
        <v>271</v>
      </c>
      <c r="AS8" t="s">
        <v>193</v>
      </c>
      <c r="AU8" t="s">
        <v>0</v>
      </c>
      <c r="AW8" t="s">
        <v>194</v>
      </c>
      <c r="AX8" t="s">
        <v>550</v>
      </c>
      <c r="AY8" t="s">
        <v>201</v>
      </c>
      <c r="AZ8" t="s">
        <v>300</v>
      </c>
    </row>
    <row r="9" spans="1:52" x14ac:dyDescent="0.3">
      <c r="A9" t="s">
        <v>301</v>
      </c>
      <c r="B9" t="s">
        <v>302</v>
      </c>
      <c r="C9" t="s">
        <v>175</v>
      </c>
      <c r="D9" t="s">
        <v>37</v>
      </c>
      <c r="E9" t="s">
        <v>177</v>
      </c>
      <c r="F9" t="s">
        <v>178</v>
      </c>
      <c r="G9" s="34">
        <v>41536</v>
      </c>
      <c r="H9" t="s">
        <v>38</v>
      </c>
      <c r="I9" t="s">
        <v>206</v>
      </c>
      <c r="J9" t="s">
        <v>303</v>
      </c>
      <c r="K9" t="s">
        <v>304</v>
      </c>
      <c r="L9" t="s">
        <v>305</v>
      </c>
      <c r="M9" t="s">
        <v>306</v>
      </c>
      <c r="N9" t="s">
        <v>307</v>
      </c>
      <c r="O9" t="s">
        <v>308</v>
      </c>
      <c r="P9" t="s">
        <v>309</v>
      </c>
      <c r="Q9" t="s">
        <v>310</v>
      </c>
      <c r="R9" t="s">
        <v>187</v>
      </c>
      <c r="S9" t="s">
        <v>311</v>
      </c>
      <c r="T9" t="s">
        <v>189</v>
      </c>
      <c r="U9" t="s">
        <v>312</v>
      </c>
      <c r="V9" t="s">
        <v>191</v>
      </c>
      <c r="W9" t="s">
        <v>192</v>
      </c>
      <c r="X9" t="s">
        <v>192</v>
      </c>
      <c r="Y9">
        <v>70</v>
      </c>
      <c r="Z9" t="s">
        <v>313</v>
      </c>
      <c r="AB9" t="s">
        <v>0</v>
      </c>
      <c r="AD9" t="s">
        <v>0</v>
      </c>
      <c r="AF9" t="s">
        <v>0</v>
      </c>
      <c r="AG9">
        <v>80</v>
      </c>
      <c r="AH9" t="s">
        <v>0</v>
      </c>
      <c r="AJ9" t="s">
        <v>224</v>
      </c>
      <c r="AK9" t="s">
        <v>255</v>
      </c>
      <c r="AL9">
        <v>90</v>
      </c>
      <c r="AM9" t="s">
        <v>217</v>
      </c>
      <c r="AO9" t="s">
        <v>193</v>
      </c>
      <c r="AQ9" t="s">
        <v>314</v>
      </c>
      <c r="AS9" t="s">
        <v>315</v>
      </c>
      <c r="AU9" t="s">
        <v>0</v>
      </c>
      <c r="AW9" t="s">
        <v>218</v>
      </c>
      <c r="AX9" t="s">
        <v>551</v>
      </c>
      <c r="AY9" t="s">
        <v>201</v>
      </c>
      <c r="AZ9" t="s">
        <v>300</v>
      </c>
    </row>
    <row r="10" spans="1:52" x14ac:dyDescent="0.3">
      <c r="A10" t="s">
        <v>316</v>
      </c>
      <c r="B10" t="s">
        <v>317</v>
      </c>
      <c r="C10" t="s">
        <v>175</v>
      </c>
      <c r="D10" t="s">
        <v>37</v>
      </c>
      <c r="E10" t="s">
        <v>0</v>
      </c>
      <c r="F10" t="s">
        <v>178</v>
      </c>
      <c r="G10" s="34">
        <v>41344</v>
      </c>
      <c r="H10" t="s">
        <v>44</v>
      </c>
      <c r="I10" t="s">
        <v>0</v>
      </c>
      <c r="J10" t="s">
        <v>318</v>
      </c>
      <c r="K10" t="s">
        <v>319</v>
      </c>
      <c r="L10" t="s">
        <v>320</v>
      </c>
      <c r="M10" t="s">
        <v>321</v>
      </c>
      <c r="N10" t="s">
        <v>322</v>
      </c>
      <c r="O10" t="s">
        <v>323</v>
      </c>
      <c r="P10" t="s">
        <v>324</v>
      </c>
      <c r="Q10" t="s">
        <v>325</v>
      </c>
      <c r="R10" t="s">
        <v>187</v>
      </c>
      <c r="S10" t="s">
        <v>326</v>
      </c>
      <c r="T10" t="s">
        <v>189</v>
      </c>
      <c r="U10" t="s">
        <v>327</v>
      </c>
      <c r="V10" t="s">
        <v>191</v>
      </c>
      <c r="W10" t="s">
        <v>192</v>
      </c>
      <c r="X10" t="s">
        <v>192</v>
      </c>
      <c r="Y10">
        <v>84</v>
      </c>
      <c r="Z10" t="s">
        <v>313</v>
      </c>
      <c r="AB10" t="s">
        <v>0</v>
      </c>
      <c r="AD10" t="s">
        <v>0</v>
      </c>
      <c r="AF10" t="s">
        <v>0</v>
      </c>
      <c r="AG10">
        <v>84</v>
      </c>
      <c r="AH10" t="s">
        <v>0</v>
      </c>
      <c r="AJ10" t="s">
        <v>218</v>
      </c>
      <c r="AK10" t="s">
        <v>195</v>
      </c>
      <c r="AL10">
        <v>87</v>
      </c>
      <c r="AM10" t="s">
        <v>221</v>
      </c>
      <c r="AO10" t="s">
        <v>313</v>
      </c>
      <c r="AQ10" t="s">
        <v>199</v>
      </c>
      <c r="AS10" t="s">
        <v>328</v>
      </c>
      <c r="AU10" t="s">
        <v>0</v>
      </c>
      <c r="AW10" t="s">
        <v>224</v>
      </c>
      <c r="AX10" t="s">
        <v>551</v>
      </c>
      <c r="AY10" t="s">
        <v>201</v>
      </c>
      <c r="AZ10" t="s">
        <v>202</v>
      </c>
    </row>
    <row r="11" spans="1:52" x14ac:dyDescent="0.3">
      <c r="A11" t="s">
        <v>329</v>
      </c>
      <c r="B11" t="s">
        <v>330</v>
      </c>
      <c r="C11" t="s">
        <v>175</v>
      </c>
      <c r="D11" t="s">
        <v>47</v>
      </c>
      <c r="E11" t="s">
        <v>274</v>
      </c>
      <c r="F11" t="s">
        <v>178</v>
      </c>
      <c r="G11" s="34">
        <v>41173</v>
      </c>
      <c r="H11" t="s">
        <v>38</v>
      </c>
      <c r="I11" t="s">
        <v>206</v>
      </c>
      <c r="J11" t="s">
        <v>331</v>
      </c>
      <c r="K11" t="s">
        <v>332</v>
      </c>
      <c r="L11" t="s">
        <v>333</v>
      </c>
      <c r="M11" t="s">
        <v>334</v>
      </c>
      <c r="N11" t="s">
        <v>335</v>
      </c>
      <c r="O11" t="s">
        <v>336</v>
      </c>
      <c r="P11" t="s">
        <v>337</v>
      </c>
      <c r="Q11" t="s">
        <v>338</v>
      </c>
      <c r="R11" t="s">
        <v>187</v>
      </c>
      <c r="S11" t="s">
        <v>339</v>
      </c>
      <c r="T11" t="s">
        <v>189</v>
      </c>
      <c r="U11" t="s">
        <v>340</v>
      </c>
      <c r="V11" t="s">
        <v>191</v>
      </c>
      <c r="W11" t="s">
        <v>192</v>
      </c>
      <c r="X11" t="s">
        <v>192</v>
      </c>
      <c r="Y11">
        <v>62</v>
      </c>
      <c r="Z11" t="s">
        <v>341</v>
      </c>
      <c r="AB11" t="s">
        <v>0</v>
      </c>
      <c r="AD11" t="s">
        <v>0</v>
      </c>
      <c r="AF11" t="s">
        <v>0</v>
      </c>
      <c r="AG11">
        <v>60</v>
      </c>
      <c r="AH11" t="s">
        <v>0</v>
      </c>
      <c r="AJ11" t="s">
        <v>194</v>
      </c>
      <c r="AK11" t="s">
        <v>195</v>
      </c>
      <c r="AL11">
        <v>70</v>
      </c>
      <c r="AM11" t="s">
        <v>220</v>
      </c>
      <c r="AO11" t="s">
        <v>196</v>
      </c>
      <c r="AQ11" t="s">
        <v>342</v>
      </c>
      <c r="AS11" t="s">
        <v>328</v>
      </c>
      <c r="AU11" t="s">
        <v>0</v>
      </c>
      <c r="AW11" t="s">
        <v>218</v>
      </c>
      <c r="AX11" t="s">
        <v>552</v>
      </c>
      <c r="AY11" t="s">
        <v>201</v>
      </c>
      <c r="AZ11" t="s">
        <v>343</v>
      </c>
    </row>
    <row r="12" spans="1:52" x14ac:dyDescent="0.3">
      <c r="A12" t="s">
        <v>344</v>
      </c>
      <c r="B12" t="s">
        <v>345</v>
      </c>
      <c r="C12" t="s">
        <v>346</v>
      </c>
      <c r="D12" t="s">
        <v>47</v>
      </c>
      <c r="E12" t="s">
        <v>177</v>
      </c>
      <c r="F12" t="s">
        <v>178</v>
      </c>
      <c r="G12" s="34">
        <v>40926</v>
      </c>
      <c r="H12" t="s">
        <v>44</v>
      </c>
      <c r="I12" t="s">
        <v>0</v>
      </c>
      <c r="J12" t="s">
        <v>347</v>
      </c>
      <c r="K12" t="s">
        <v>348</v>
      </c>
      <c r="L12" t="s">
        <v>349</v>
      </c>
      <c r="M12" t="s">
        <v>350</v>
      </c>
      <c r="N12" t="s">
        <v>351</v>
      </c>
      <c r="O12" t="s">
        <v>352</v>
      </c>
      <c r="P12" t="s">
        <v>353</v>
      </c>
      <c r="Q12" t="s">
        <v>354</v>
      </c>
      <c r="R12" t="s">
        <v>187</v>
      </c>
      <c r="S12" t="s">
        <v>355</v>
      </c>
      <c r="T12" t="s">
        <v>189</v>
      </c>
      <c r="U12" t="s">
        <v>356</v>
      </c>
      <c r="V12" t="s">
        <v>191</v>
      </c>
      <c r="W12" t="s">
        <v>192</v>
      </c>
      <c r="X12" t="s">
        <v>192</v>
      </c>
      <c r="Y12">
        <v>71</v>
      </c>
      <c r="Z12" t="s">
        <v>357</v>
      </c>
      <c r="AB12" t="s">
        <v>0</v>
      </c>
      <c r="AD12" t="s">
        <v>0</v>
      </c>
      <c r="AF12" t="s">
        <v>0</v>
      </c>
      <c r="AG12">
        <v>79</v>
      </c>
      <c r="AH12" t="s">
        <v>0</v>
      </c>
      <c r="AJ12" t="s">
        <v>194</v>
      </c>
      <c r="AK12" t="s">
        <v>219</v>
      </c>
      <c r="AL12">
        <v>80</v>
      </c>
      <c r="AM12" t="s">
        <v>221</v>
      </c>
      <c r="AO12" t="s">
        <v>223</v>
      </c>
      <c r="AQ12" t="s">
        <v>223</v>
      </c>
      <c r="AS12" t="s">
        <v>241</v>
      </c>
      <c r="AU12" t="s">
        <v>0</v>
      </c>
      <c r="AW12" t="s">
        <v>218</v>
      </c>
      <c r="AX12" t="s">
        <v>550</v>
      </c>
      <c r="AY12" t="s">
        <v>201</v>
      </c>
      <c r="AZ12" t="s">
        <v>300</v>
      </c>
    </row>
    <row r="13" spans="1:52" x14ac:dyDescent="0.3">
      <c r="A13" t="s">
        <v>358</v>
      </c>
      <c r="B13" t="s">
        <v>359</v>
      </c>
      <c r="C13" t="s">
        <v>346</v>
      </c>
      <c r="D13" t="s">
        <v>49</v>
      </c>
      <c r="E13" t="s">
        <v>177</v>
      </c>
      <c r="F13" t="s">
        <v>178</v>
      </c>
      <c r="G13" s="34">
        <v>41278</v>
      </c>
      <c r="H13" t="s">
        <v>38</v>
      </c>
      <c r="I13" t="s">
        <v>206</v>
      </c>
      <c r="J13" t="s">
        <v>360</v>
      </c>
      <c r="K13" t="s">
        <v>361</v>
      </c>
      <c r="L13" t="s">
        <v>362</v>
      </c>
      <c r="M13" t="s">
        <v>363</v>
      </c>
      <c r="N13" t="s">
        <v>364</v>
      </c>
      <c r="O13" t="s">
        <v>365</v>
      </c>
      <c r="P13" t="s">
        <v>366</v>
      </c>
      <c r="Q13" t="s">
        <v>367</v>
      </c>
      <c r="R13" t="s">
        <v>187</v>
      </c>
      <c r="S13" t="s">
        <v>368</v>
      </c>
      <c r="T13" t="s">
        <v>189</v>
      </c>
      <c r="U13" t="s">
        <v>369</v>
      </c>
      <c r="V13" t="s">
        <v>191</v>
      </c>
      <c r="W13" t="s">
        <v>192</v>
      </c>
      <c r="X13" t="s">
        <v>192</v>
      </c>
      <c r="Y13">
        <v>62</v>
      </c>
      <c r="Z13" t="s">
        <v>370</v>
      </c>
      <c r="AB13" t="s">
        <v>0</v>
      </c>
      <c r="AD13" t="s">
        <v>0</v>
      </c>
      <c r="AF13" t="s">
        <v>0</v>
      </c>
      <c r="AG13">
        <v>78</v>
      </c>
      <c r="AH13" t="s">
        <v>0</v>
      </c>
      <c r="AJ13" t="s">
        <v>224</v>
      </c>
      <c r="AK13" t="s">
        <v>219</v>
      </c>
      <c r="AL13">
        <v>82</v>
      </c>
      <c r="AM13" t="s">
        <v>258</v>
      </c>
      <c r="AO13" t="s">
        <v>285</v>
      </c>
      <c r="AQ13" t="s">
        <v>199</v>
      </c>
      <c r="AS13" t="s">
        <v>257</v>
      </c>
      <c r="AU13" t="s">
        <v>0</v>
      </c>
      <c r="AW13" t="s">
        <v>194</v>
      </c>
      <c r="AX13" t="s">
        <v>550</v>
      </c>
      <c r="AY13" t="s">
        <v>201</v>
      </c>
      <c r="AZ13" t="s">
        <v>343</v>
      </c>
    </row>
    <row r="14" spans="1:52" x14ac:dyDescent="0.3">
      <c r="A14" t="s">
        <v>371</v>
      </c>
      <c r="B14" t="s">
        <v>372</v>
      </c>
      <c r="C14" t="s">
        <v>175</v>
      </c>
      <c r="D14" t="s">
        <v>49</v>
      </c>
      <c r="E14" t="s">
        <v>274</v>
      </c>
      <c r="F14" t="s">
        <v>178</v>
      </c>
      <c r="G14" s="34">
        <v>41637</v>
      </c>
      <c r="H14" t="s">
        <v>38</v>
      </c>
      <c r="I14" t="s">
        <v>0</v>
      </c>
      <c r="J14" t="s">
        <v>373</v>
      </c>
      <c r="K14" t="s">
        <v>374</v>
      </c>
      <c r="L14" t="s">
        <v>375</v>
      </c>
      <c r="M14" t="s">
        <v>376</v>
      </c>
      <c r="N14" t="s">
        <v>377</v>
      </c>
      <c r="O14" t="s">
        <v>378</v>
      </c>
      <c r="P14" t="s">
        <v>379</v>
      </c>
      <c r="Q14" t="s">
        <v>380</v>
      </c>
      <c r="R14" t="s">
        <v>187</v>
      </c>
      <c r="S14" t="s">
        <v>381</v>
      </c>
      <c r="T14" t="s">
        <v>189</v>
      </c>
      <c r="U14" t="s">
        <v>382</v>
      </c>
      <c r="V14" t="s">
        <v>191</v>
      </c>
      <c r="W14" t="s">
        <v>192</v>
      </c>
      <c r="X14" t="s">
        <v>192</v>
      </c>
      <c r="Y14">
        <v>66</v>
      </c>
      <c r="Z14" t="s">
        <v>223</v>
      </c>
      <c r="AB14" t="s">
        <v>0</v>
      </c>
      <c r="AD14" t="s">
        <v>0</v>
      </c>
      <c r="AF14" t="s">
        <v>0</v>
      </c>
      <c r="AG14">
        <v>73</v>
      </c>
      <c r="AH14" t="s">
        <v>0</v>
      </c>
      <c r="AJ14" t="s">
        <v>218</v>
      </c>
      <c r="AK14" t="s">
        <v>195</v>
      </c>
      <c r="AL14">
        <v>77</v>
      </c>
      <c r="AM14" t="s">
        <v>198</v>
      </c>
      <c r="AO14" t="s">
        <v>357</v>
      </c>
      <c r="AQ14" t="s">
        <v>285</v>
      </c>
      <c r="AS14" t="s">
        <v>257</v>
      </c>
      <c r="AU14" t="s">
        <v>0</v>
      </c>
      <c r="AW14" t="s">
        <v>224</v>
      </c>
      <c r="AX14" t="s">
        <v>550</v>
      </c>
      <c r="AY14" t="s">
        <v>201</v>
      </c>
      <c r="AZ14" t="s">
        <v>300</v>
      </c>
    </row>
    <row r="15" spans="1:52" x14ac:dyDescent="0.3">
      <c r="A15" t="s">
        <v>383</v>
      </c>
      <c r="B15" t="s">
        <v>384</v>
      </c>
      <c r="C15" t="s">
        <v>228</v>
      </c>
      <c r="D15" t="s">
        <v>49</v>
      </c>
      <c r="E15" t="s">
        <v>177</v>
      </c>
      <c r="F15" t="s">
        <v>178</v>
      </c>
      <c r="G15" s="34">
        <v>41261</v>
      </c>
      <c r="H15" t="s">
        <v>38</v>
      </c>
      <c r="I15" t="s">
        <v>201</v>
      </c>
      <c r="J15" t="s">
        <v>385</v>
      </c>
      <c r="K15" t="s">
        <v>386</v>
      </c>
      <c r="L15" t="s">
        <v>387</v>
      </c>
      <c r="M15" t="s">
        <v>388</v>
      </c>
      <c r="N15" t="s">
        <v>389</v>
      </c>
      <c r="O15" t="s">
        <v>390</v>
      </c>
      <c r="P15" t="s">
        <v>391</v>
      </c>
      <c r="Q15" t="s">
        <v>392</v>
      </c>
      <c r="R15" t="s">
        <v>187</v>
      </c>
      <c r="S15" t="s">
        <v>393</v>
      </c>
      <c r="T15" t="s">
        <v>189</v>
      </c>
      <c r="U15" t="s">
        <v>394</v>
      </c>
      <c r="V15" t="s">
        <v>191</v>
      </c>
      <c r="W15" t="s">
        <v>192</v>
      </c>
      <c r="X15" t="s">
        <v>192</v>
      </c>
      <c r="Y15">
        <v>60</v>
      </c>
      <c r="Z15" t="s">
        <v>299</v>
      </c>
      <c r="AB15" t="s">
        <v>0</v>
      </c>
      <c r="AD15" t="s">
        <v>0</v>
      </c>
      <c r="AF15" t="s">
        <v>0</v>
      </c>
      <c r="AG15">
        <v>74</v>
      </c>
      <c r="AH15" t="s">
        <v>0</v>
      </c>
      <c r="AJ15" t="s">
        <v>194</v>
      </c>
      <c r="AK15" t="s">
        <v>219</v>
      </c>
      <c r="AL15">
        <v>82</v>
      </c>
      <c r="AM15" t="s">
        <v>241</v>
      </c>
      <c r="AO15" t="s">
        <v>395</v>
      </c>
      <c r="AQ15" t="s">
        <v>315</v>
      </c>
      <c r="AS15" t="s">
        <v>341</v>
      </c>
      <c r="AU15" t="s">
        <v>0</v>
      </c>
      <c r="AW15" t="s">
        <v>194</v>
      </c>
      <c r="AX15" t="s">
        <v>551</v>
      </c>
      <c r="AY15" t="s">
        <v>201</v>
      </c>
      <c r="AZ15" t="s">
        <v>343</v>
      </c>
    </row>
    <row r="16" spans="1:52" x14ac:dyDescent="0.3">
      <c r="A16" t="s">
        <v>396</v>
      </c>
      <c r="B16" t="s">
        <v>397</v>
      </c>
      <c r="C16" t="s">
        <v>228</v>
      </c>
      <c r="D16" t="s">
        <v>176</v>
      </c>
      <c r="E16" t="s">
        <v>274</v>
      </c>
      <c r="F16" t="s">
        <v>178</v>
      </c>
      <c r="G16" s="34">
        <v>41488</v>
      </c>
      <c r="H16" t="s">
        <v>44</v>
      </c>
      <c r="I16" t="s">
        <v>0</v>
      </c>
      <c r="J16" t="s">
        <v>398</v>
      </c>
      <c r="K16" t="s">
        <v>399</v>
      </c>
      <c r="L16" t="s">
        <v>400</v>
      </c>
      <c r="M16" t="s">
        <v>401</v>
      </c>
      <c r="N16" t="s">
        <v>402</v>
      </c>
      <c r="O16" t="s">
        <v>403</v>
      </c>
      <c r="P16" t="s">
        <v>404</v>
      </c>
      <c r="Q16" t="s">
        <v>405</v>
      </c>
      <c r="R16" t="s">
        <v>187</v>
      </c>
      <c r="S16" t="s">
        <v>406</v>
      </c>
      <c r="T16" t="s">
        <v>189</v>
      </c>
      <c r="U16" t="s">
        <v>407</v>
      </c>
      <c r="V16" t="s">
        <v>191</v>
      </c>
      <c r="W16" t="s">
        <v>192</v>
      </c>
      <c r="X16" t="s">
        <v>192</v>
      </c>
      <c r="Y16">
        <v>68</v>
      </c>
      <c r="Z16" t="s">
        <v>197</v>
      </c>
      <c r="AB16" t="s">
        <v>0</v>
      </c>
      <c r="AD16" t="s">
        <v>0</v>
      </c>
      <c r="AF16" t="s">
        <v>0</v>
      </c>
      <c r="AG16">
        <v>77</v>
      </c>
      <c r="AH16" t="s">
        <v>0</v>
      </c>
      <c r="AJ16" t="s">
        <v>224</v>
      </c>
      <c r="AK16" t="s">
        <v>255</v>
      </c>
      <c r="AL16">
        <v>89</v>
      </c>
      <c r="AM16" t="s">
        <v>196</v>
      </c>
      <c r="AO16" t="s">
        <v>408</v>
      </c>
      <c r="AQ16" t="s">
        <v>193</v>
      </c>
      <c r="AS16" t="s">
        <v>223</v>
      </c>
      <c r="AU16" t="s">
        <v>0</v>
      </c>
      <c r="AW16" t="s">
        <v>224</v>
      </c>
      <c r="AX16" t="s">
        <v>551</v>
      </c>
      <c r="AY16" t="s">
        <v>201</v>
      </c>
      <c r="AZ16" t="s">
        <v>343</v>
      </c>
    </row>
    <row r="17" spans="1:52" x14ac:dyDescent="0.3">
      <c r="A17" t="s">
        <v>409</v>
      </c>
      <c r="B17" t="s">
        <v>410</v>
      </c>
      <c r="C17" t="s">
        <v>346</v>
      </c>
      <c r="D17" t="s">
        <v>176</v>
      </c>
      <c r="E17" t="s">
        <v>0</v>
      </c>
      <c r="F17" t="s">
        <v>178</v>
      </c>
      <c r="G17" s="34">
        <v>41214</v>
      </c>
      <c r="H17" t="s">
        <v>38</v>
      </c>
      <c r="I17" t="s">
        <v>0</v>
      </c>
      <c r="J17" t="s">
        <v>411</v>
      </c>
      <c r="K17" t="s">
        <v>412</v>
      </c>
      <c r="L17" t="s">
        <v>413</v>
      </c>
      <c r="M17" t="s">
        <v>414</v>
      </c>
      <c r="N17" t="s">
        <v>415</v>
      </c>
      <c r="O17" t="s">
        <v>416</v>
      </c>
      <c r="P17" t="s">
        <v>417</v>
      </c>
      <c r="Q17" t="s">
        <v>418</v>
      </c>
      <c r="R17" t="s">
        <v>187</v>
      </c>
      <c r="S17" t="s">
        <v>419</v>
      </c>
      <c r="T17" t="s">
        <v>189</v>
      </c>
      <c r="U17" t="s">
        <v>420</v>
      </c>
      <c r="V17" t="s">
        <v>191</v>
      </c>
      <c r="W17" t="s">
        <v>192</v>
      </c>
      <c r="X17" t="s">
        <v>192</v>
      </c>
      <c r="Y17">
        <v>76</v>
      </c>
      <c r="Z17" t="s">
        <v>298</v>
      </c>
      <c r="AB17" t="s">
        <v>0</v>
      </c>
      <c r="AD17" t="s">
        <v>0</v>
      </c>
      <c r="AF17" t="s">
        <v>0</v>
      </c>
      <c r="AG17">
        <v>75</v>
      </c>
      <c r="AH17" t="s">
        <v>0</v>
      </c>
      <c r="AJ17" t="s">
        <v>224</v>
      </c>
      <c r="AK17" t="s">
        <v>255</v>
      </c>
      <c r="AL17">
        <v>79</v>
      </c>
      <c r="AM17" t="s">
        <v>199</v>
      </c>
      <c r="AO17" t="s">
        <v>341</v>
      </c>
      <c r="AQ17" t="s">
        <v>341</v>
      </c>
      <c r="AS17" t="s">
        <v>258</v>
      </c>
      <c r="AU17" t="s">
        <v>0</v>
      </c>
      <c r="AW17" t="s">
        <v>218</v>
      </c>
      <c r="AX17" t="s">
        <v>552</v>
      </c>
      <c r="AY17" t="s">
        <v>201</v>
      </c>
      <c r="AZ17" t="s">
        <v>300</v>
      </c>
    </row>
    <row r="18" spans="1:52" x14ac:dyDescent="0.3">
      <c r="A18" t="s">
        <v>421</v>
      </c>
      <c r="B18" t="s">
        <v>422</v>
      </c>
      <c r="C18" t="s">
        <v>175</v>
      </c>
      <c r="D18" t="s">
        <v>41</v>
      </c>
      <c r="E18" t="s">
        <v>205</v>
      </c>
      <c r="F18" t="s">
        <v>178</v>
      </c>
      <c r="G18" s="34">
        <v>41449</v>
      </c>
      <c r="H18" t="s">
        <v>38</v>
      </c>
      <c r="I18" t="s">
        <v>0</v>
      </c>
      <c r="J18" t="s">
        <v>423</v>
      </c>
      <c r="K18" t="s">
        <v>424</v>
      </c>
      <c r="L18" t="s">
        <v>425</v>
      </c>
      <c r="M18" t="s">
        <v>426</v>
      </c>
      <c r="N18" t="s">
        <v>427</v>
      </c>
      <c r="O18" t="s">
        <v>428</v>
      </c>
      <c r="P18" t="s">
        <v>429</v>
      </c>
      <c r="Q18" t="s">
        <v>430</v>
      </c>
      <c r="R18" t="s">
        <v>187</v>
      </c>
      <c r="S18" t="s">
        <v>431</v>
      </c>
      <c r="T18" t="s">
        <v>189</v>
      </c>
      <c r="U18" t="s">
        <v>432</v>
      </c>
      <c r="V18" t="s">
        <v>191</v>
      </c>
      <c r="W18" t="s">
        <v>192</v>
      </c>
      <c r="X18" t="s">
        <v>192</v>
      </c>
      <c r="Y18">
        <v>67</v>
      </c>
      <c r="Z18" t="s">
        <v>258</v>
      </c>
      <c r="AB18" t="s">
        <v>0</v>
      </c>
      <c r="AD18" t="s">
        <v>0</v>
      </c>
      <c r="AF18" t="s">
        <v>0</v>
      </c>
      <c r="AG18">
        <v>73</v>
      </c>
      <c r="AH18" t="s">
        <v>0</v>
      </c>
      <c r="AJ18" t="s">
        <v>224</v>
      </c>
      <c r="AK18" t="s">
        <v>219</v>
      </c>
      <c r="AL18">
        <v>84</v>
      </c>
      <c r="AM18" t="s">
        <v>313</v>
      </c>
      <c r="AO18" t="s">
        <v>408</v>
      </c>
      <c r="AQ18" t="s">
        <v>221</v>
      </c>
      <c r="AS18" t="s">
        <v>196</v>
      </c>
      <c r="AU18" t="s">
        <v>0</v>
      </c>
      <c r="AW18" t="s">
        <v>218</v>
      </c>
      <c r="AX18" t="s">
        <v>552</v>
      </c>
      <c r="AY18" t="s">
        <v>201</v>
      </c>
      <c r="AZ18" t="s">
        <v>300</v>
      </c>
    </row>
    <row r="19" spans="1:52" x14ac:dyDescent="0.3">
      <c r="A19" t="s">
        <v>433</v>
      </c>
      <c r="B19" t="s">
        <v>434</v>
      </c>
      <c r="C19" t="s">
        <v>228</v>
      </c>
      <c r="D19" t="s">
        <v>49</v>
      </c>
      <c r="E19" t="s">
        <v>274</v>
      </c>
      <c r="F19" t="s">
        <v>178</v>
      </c>
      <c r="G19" s="34">
        <v>41435</v>
      </c>
      <c r="H19" t="s">
        <v>38</v>
      </c>
      <c r="I19" t="s">
        <v>201</v>
      </c>
      <c r="J19" t="s">
        <v>435</v>
      </c>
      <c r="K19" t="s">
        <v>436</v>
      </c>
      <c r="L19" t="s">
        <v>437</v>
      </c>
      <c r="M19" t="s">
        <v>438</v>
      </c>
      <c r="N19" t="s">
        <v>439</v>
      </c>
      <c r="O19" t="s">
        <v>440</v>
      </c>
      <c r="P19" t="s">
        <v>441</v>
      </c>
      <c r="Q19" t="s">
        <v>442</v>
      </c>
      <c r="R19" t="s">
        <v>187</v>
      </c>
      <c r="S19" t="s">
        <v>443</v>
      </c>
      <c r="T19" t="s">
        <v>189</v>
      </c>
      <c r="U19" t="s">
        <v>444</v>
      </c>
      <c r="V19" t="s">
        <v>191</v>
      </c>
      <c r="W19" t="s">
        <v>192</v>
      </c>
      <c r="X19" t="s">
        <v>192</v>
      </c>
      <c r="Y19">
        <v>88</v>
      </c>
      <c r="Z19" t="s">
        <v>258</v>
      </c>
      <c r="AB19" t="s">
        <v>0</v>
      </c>
      <c r="AD19" t="s">
        <v>0</v>
      </c>
      <c r="AF19" t="s">
        <v>0</v>
      </c>
      <c r="AG19">
        <v>83</v>
      </c>
      <c r="AH19" t="s">
        <v>0</v>
      </c>
      <c r="AJ19" t="s">
        <v>218</v>
      </c>
      <c r="AK19" t="s">
        <v>195</v>
      </c>
      <c r="AL19">
        <v>64</v>
      </c>
      <c r="AM19" t="s">
        <v>241</v>
      </c>
      <c r="AO19" t="s">
        <v>199</v>
      </c>
      <c r="AQ19" t="s">
        <v>199</v>
      </c>
      <c r="AS19" t="s">
        <v>220</v>
      </c>
      <c r="AU19" t="s">
        <v>0</v>
      </c>
      <c r="AW19" t="s">
        <v>218</v>
      </c>
      <c r="AX19" t="s">
        <v>550</v>
      </c>
      <c r="AY19" t="s">
        <v>201</v>
      </c>
      <c r="AZ19" t="s">
        <v>343</v>
      </c>
    </row>
    <row r="20" spans="1:52" x14ac:dyDescent="0.3">
      <c r="A20" t="s">
        <v>445</v>
      </c>
      <c r="B20" t="s">
        <v>446</v>
      </c>
      <c r="C20" t="s">
        <v>346</v>
      </c>
      <c r="D20" t="s">
        <v>37</v>
      </c>
      <c r="E20" t="s">
        <v>0</v>
      </c>
      <c r="F20" t="s">
        <v>178</v>
      </c>
      <c r="G20" s="34">
        <v>41130</v>
      </c>
      <c r="H20" t="s">
        <v>38</v>
      </c>
      <c r="I20" t="s">
        <v>0</v>
      </c>
      <c r="J20" t="s">
        <v>447</v>
      </c>
      <c r="K20" t="s">
        <v>448</v>
      </c>
      <c r="L20" t="s">
        <v>449</v>
      </c>
      <c r="M20" t="s">
        <v>450</v>
      </c>
      <c r="N20" t="s">
        <v>451</v>
      </c>
      <c r="O20" t="s">
        <v>452</v>
      </c>
      <c r="P20" t="s">
        <v>453</v>
      </c>
      <c r="Q20" t="s">
        <v>454</v>
      </c>
      <c r="R20" t="s">
        <v>187</v>
      </c>
      <c r="S20" t="s">
        <v>455</v>
      </c>
      <c r="T20" t="s">
        <v>189</v>
      </c>
      <c r="U20" t="s">
        <v>456</v>
      </c>
      <c r="V20" t="s">
        <v>191</v>
      </c>
      <c r="W20" t="s">
        <v>192</v>
      </c>
      <c r="X20" t="s">
        <v>192</v>
      </c>
      <c r="Y20">
        <v>64</v>
      </c>
      <c r="Z20" t="s">
        <v>193</v>
      </c>
      <c r="AB20" t="s">
        <v>0</v>
      </c>
      <c r="AD20" t="s">
        <v>0</v>
      </c>
      <c r="AF20" t="s">
        <v>0</v>
      </c>
      <c r="AG20">
        <v>61</v>
      </c>
      <c r="AH20" t="s">
        <v>0</v>
      </c>
      <c r="AJ20" t="s">
        <v>194</v>
      </c>
      <c r="AK20" t="s">
        <v>219</v>
      </c>
      <c r="AL20">
        <v>81</v>
      </c>
      <c r="AM20" t="s">
        <v>239</v>
      </c>
      <c r="AO20" t="s">
        <v>258</v>
      </c>
      <c r="AQ20" t="s">
        <v>328</v>
      </c>
      <c r="AS20" t="s">
        <v>257</v>
      </c>
      <c r="AU20" t="s">
        <v>0</v>
      </c>
      <c r="AW20" t="s">
        <v>224</v>
      </c>
      <c r="AX20" t="s">
        <v>552</v>
      </c>
      <c r="AY20" t="s">
        <v>201</v>
      </c>
      <c r="AZ20" t="s">
        <v>343</v>
      </c>
    </row>
    <row r="21" spans="1:52" x14ac:dyDescent="0.3">
      <c r="A21" t="s">
        <v>457</v>
      </c>
      <c r="B21" t="s">
        <v>458</v>
      </c>
      <c r="C21" t="s">
        <v>175</v>
      </c>
      <c r="D21" t="s">
        <v>37</v>
      </c>
      <c r="E21" t="s">
        <v>0</v>
      </c>
      <c r="F21" t="s">
        <v>178</v>
      </c>
      <c r="G21" s="34">
        <v>41069</v>
      </c>
      <c r="H21" t="s">
        <v>38</v>
      </c>
      <c r="I21" t="s">
        <v>201</v>
      </c>
      <c r="J21" t="s">
        <v>459</v>
      </c>
      <c r="K21" t="s">
        <v>460</v>
      </c>
      <c r="L21" t="s">
        <v>461</v>
      </c>
      <c r="M21" t="s">
        <v>462</v>
      </c>
      <c r="N21" t="s">
        <v>463</v>
      </c>
      <c r="O21" t="s">
        <v>464</v>
      </c>
      <c r="P21" t="s">
        <v>465</v>
      </c>
      <c r="Q21" t="s">
        <v>466</v>
      </c>
      <c r="R21" t="s">
        <v>187</v>
      </c>
      <c r="S21" t="s">
        <v>467</v>
      </c>
      <c r="T21" t="s">
        <v>189</v>
      </c>
      <c r="U21" t="s">
        <v>468</v>
      </c>
      <c r="V21" t="s">
        <v>191</v>
      </c>
      <c r="W21" t="s">
        <v>192</v>
      </c>
      <c r="X21" t="s">
        <v>192</v>
      </c>
      <c r="Y21">
        <v>89</v>
      </c>
      <c r="Z21" t="s">
        <v>469</v>
      </c>
      <c r="AB21" t="s">
        <v>0</v>
      </c>
      <c r="AD21" t="s">
        <v>0</v>
      </c>
      <c r="AF21" t="s">
        <v>0</v>
      </c>
      <c r="AG21">
        <v>70</v>
      </c>
      <c r="AH21" t="s">
        <v>0</v>
      </c>
      <c r="AJ21" t="s">
        <v>218</v>
      </c>
      <c r="AK21" t="s">
        <v>195</v>
      </c>
      <c r="AL21">
        <v>79</v>
      </c>
      <c r="AM21" t="s">
        <v>313</v>
      </c>
      <c r="AO21" t="s">
        <v>357</v>
      </c>
      <c r="AQ21" t="s">
        <v>370</v>
      </c>
      <c r="AS21" t="s">
        <v>193</v>
      </c>
      <c r="AU21" t="s">
        <v>0</v>
      </c>
      <c r="AW21" t="s">
        <v>194</v>
      </c>
      <c r="AX21" t="s">
        <v>551</v>
      </c>
      <c r="AY21" t="s">
        <v>201</v>
      </c>
      <c r="AZ21" t="s">
        <v>202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1AA5F-77AF-402F-BE59-D6A1DCD84245}">
  <sheetPr codeName="Sheet4">
    <tabColor theme="9"/>
  </sheetPr>
  <dimension ref="A1:E41"/>
  <sheetViews>
    <sheetView workbookViewId="0">
      <selection activeCell="F19" sqref="F19"/>
    </sheetView>
  </sheetViews>
  <sheetFormatPr defaultRowHeight="14.4" x14ac:dyDescent="0.3"/>
  <cols>
    <col min="1" max="1" width="16.109375" bestFit="1" customWidth="1"/>
    <col min="2" max="2" width="13.33203125" bestFit="1" customWidth="1"/>
    <col min="3" max="3" width="12.44140625" bestFit="1" customWidth="1"/>
    <col min="4" max="4" width="22" bestFit="1" customWidth="1"/>
    <col min="5" max="5" width="16" bestFit="1" customWidth="1"/>
  </cols>
  <sheetData>
    <row r="1" spans="1:5" x14ac:dyDescent="0.3">
      <c r="A1" t="s">
        <v>1</v>
      </c>
      <c r="B1" t="s">
        <v>142</v>
      </c>
      <c r="C1" t="s">
        <v>143</v>
      </c>
      <c r="D1" t="s">
        <v>144</v>
      </c>
      <c r="E1" t="s">
        <v>145</v>
      </c>
    </row>
    <row r="2" spans="1:5" x14ac:dyDescent="0.3">
      <c r="A2" t="s">
        <v>173</v>
      </c>
      <c r="B2" t="s">
        <v>43</v>
      </c>
      <c r="C2" t="s">
        <v>176</v>
      </c>
      <c r="D2" t="s">
        <v>548</v>
      </c>
      <c r="E2" t="s">
        <v>200</v>
      </c>
    </row>
    <row r="3" spans="1:5" x14ac:dyDescent="0.3">
      <c r="A3" t="s">
        <v>173</v>
      </c>
      <c r="B3" t="s">
        <v>470</v>
      </c>
      <c r="C3" t="s">
        <v>48</v>
      </c>
      <c r="D3" t="s">
        <v>0</v>
      </c>
      <c r="E3" t="s">
        <v>0</v>
      </c>
    </row>
    <row r="4" spans="1:5" x14ac:dyDescent="0.3">
      <c r="A4" t="s">
        <v>203</v>
      </c>
      <c r="B4" t="s">
        <v>470</v>
      </c>
      <c r="C4" t="s">
        <v>48</v>
      </c>
      <c r="D4" t="s">
        <v>0</v>
      </c>
      <c r="E4" t="s">
        <v>0</v>
      </c>
    </row>
    <row r="5" spans="1:5" x14ac:dyDescent="0.3">
      <c r="A5" t="s">
        <v>203</v>
      </c>
      <c r="B5" t="s">
        <v>43</v>
      </c>
      <c r="C5" t="s">
        <v>47</v>
      </c>
      <c r="D5" t="s">
        <v>46</v>
      </c>
      <c r="E5" t="s">
        <v>225</v>
      </c>
    </row>
    <row r="6" spans="1:5" x14ac:dyDescent="0.3">
      <c r="A6" t="s">
        <v>226</v>
      </c>
      <c r="B6" t="s">
        <v>43</v>
      </c>
      <c r="C6" t="s">
        <v>47</v>
      </c>
      <c r="D6" t="s">
        <v>46</v>
      </c>
      <c r="E6" t="s">
        <v>242</v>
      </c>
    </row>
    <row r="7" spans="1:5" x14ac:dyDescent="0.3">
      <c r="A7" t="s">
        <v>226</v>
      </c>
      <c r="B7" t="s">
        <v>470</v>
      </c>
      <c r="C7" t="s">
        <v>48</v>
      </c>
      <c r="D7" t="s">
        <v>0</v>
      </c>
      <c r="E7" t="s">
        <v>0</v>
      </c>
    </row>
    <row r="8" spans="1:5" x14ac:dyDescent="0.3">
      <c r="A8" t="s">
        <v>243</v>
      </c>
      <c r="B8" t="s">
        <v>43</v>
      </c>
      <c r="C8" t="s">
        <v>41</v>
      </c>
      <c r="D8" t="s">
        <v>46</v>
      </c>
      <c r="E8" t="s">
        <v>242</v>
      </c>
    </row>
    <row r="9" spans="1:5" x14ac:dyDescent="0.3">
      <c r="A9" t="s">
        <v>243</v>
      </c>
      <c r="B9" t="s">
        <v>470</v>
      </c>
      <c r="C9" t="s">
        <v>48</v>
      </c>
      <c r="D9" t="s">
        <v>0</v>
      </c>
      <c r="E9" t="s">
        <v>0</v>
      </c>
    </row>
    <row r="10" spans="1:5" x14ac:dyDescent="0.3">
      <c r="A10" t="s">
        <v>259</v>
      </c>
      <c r="B10" t="s">
        <v>43</v>
      </c>
      <c r="C10" t="s">
        <v>49</v>
      </c>
      <c r="D10" t="s">
        <v>549</v>
      </c>
      <c r="E10" t="s">
        <v>200</v>
      </c>
    </row>
    <row r="11" spans="1:5" x14ac:dyDescent="0.3">
      <c r="A11" t="s">
        <v>259</v>
      </c>
      <c r="B11" t="s">
        <v>470</v>
      </c>
      <c r="C11" t="s">
        <v>48</v>
      </c>
      <c r="D11" t="s">
        <v>0</v>
      </c>
      <c r="E11" t="s">
        <v>0</v>
      </c>
    </row>
    <row r="12" spans="1:5" x14ac:dyDescent="0.3">
      <c r="A12" t="s">
        <v>272</v>
      </c>
      <c r="B12" t="s">
        <v>43</v>
      </c>
      <c r="C12" t="s">
        <v>41</v>
      </c>
      <c r="D12" t="s">
        <v>549</v>
      </c>
      <c r="E12" t="s">
        <v>225</v>
      </c>
    </row>
    <row r="13" spans="1:5" x14ac:dyDescent="0.3">
      <c r="A13" t="s">
        <v>272</v>
      </c>
      <c r="B13" t="s">
        <v>470</v>
      </c>
      <c r="C13" t="s">
        <v>48</v>
      </c>
      <c r="D13" t="s">
        <v>0</v>
      </c>
      <c r="E13" t="s">
        <v>0</v>
      </c>
    </row>
    <row r="14" spans="1:5" x14ac:dyDescent="0.3">
      <c r="A14" t="s">
        <v>286</v>
      </c>
      <c r="B14" t="s">
        <v>43</v>
      </c>
      <c r="C14" t="s">
        <v>37</v>
      </c>
      <c r="D14" t="s">
        <v>548</v>
      </c>
      <c r="E14" t="s">
        <v>225</v>
      </c>
    </row>
    <row r="15" spans="1:5" x14ac:dyDescent="0.3">
      <c r="A15" t="s">
        <v>286</v>
      </c>
      <c r="B15" t="s">
        <v>470</v>
      </c>
      <c r="C15" t="s">
        <v>48</v>
      </c>
      <c r="D15" t="s">
        <v>0</v>
      </c>
      <c r="E15" t="s">
        <v>0</v>
      </c>
    </row>
    <row r="16" spans="1:5" x14ac:dyDescent="0.3">
      <c r="A16" t="s">
        <v>301</v>
      </c>
      <c r="B16" t="s">
        <v>43</v>
      </c>
      <c r="C16" t="s">
        <v>37</v>
      </c>
      <c r="D16" t="s">
        <v>549</v>
      </c>
      <c r="E16" t="s">
        <v>242</v>
      </c>
    </row>
    <row r="17" spans="1:5" x14ac:dyDescent="0.3">
      <c r="A17" t="s">
        <v>301</v>
      </c>
      <c r="B17" t="s">
        <v>470</v>
      </c>
      <c r="C17" t="s">
        <v>48</v>
      </c>
      <c r="D17" t="s">
        <v>0</v>
      </c>
      <c r="E17" t="s">
        <v>0</v>
      </c>
    </row>
    <row r="18" spans="1:5" x14ac:dyDescent="0.3">
      <c r="A18" t="s">
        <v>316</v>
      </c>
      <c r="B18" t="s">
        <v>43</v>
      </c>
      <c r="C18" t="s">
        <v>37</v>
      </c>
      <c r="D18" t="s">
        <v>548</v>
      </c>
      <c r="E18" t="s">
        <v>225</v>
      </c>
    </row>
    <row r="19" spans="1:5" x14ac:dyDescent="0.3">
      <c r="A19" t="s">
        <v>316</v>
      </c>
      <c r="B19" t="s">
        <v>470</v>
      </c>
      <c r="C19" t="s">
        <v>48</v>
      </c>
      <c r="D19" t="s">
        <v>0</v>
      </c>
      <c r="E19" t="s">
        <v>0</v>
      </c>
    </row>
    <row r="20" spans="1:5" x14ac:dyDescent="0.3">
      <c r="A20" t="s">
        <v>329</v>
      </c>
      <c r="B20" t="s">
        <v>43</v>
      </c>
      <c r="C20" t="s">
        <v>47</v>
      </c>
      <c r="D20" t="s">
        <v>549</v>
      </c>
      <c r="E20" t="s">
        <v>225</v>
      </c>
    </row>
    <row r="21" spans="1:5" x14ac:dyDescent="0.3">
      <c r="A21" t="s">
        <v>329</v>
      </c>
      <c r="B21" t="s">
        <v>470</v>
      </c>
      <c r="C21" t="s">
        <v>48</v>
      </c>
      <c r="D21" t="s">
        <v>0</v>
      </c>
      <c r="E21" t="s">
        <v>0</v>
      </c>
    </row>
    <row r="22" spans="1:5" x14ac:dyDescent="0.3">
      <c r="A22" t="s">
        <v>344</v>
      </c>
      <c r="B22" t="s">
        <v>43</v>
      </c>
      <c r="C22" t="s">
        <v>47</v>
      </c>
      <c r="D22" t="s">
        <v>549</v>
      </c>
      <c r="E22" t="s">
        <v>200</v>
      </c>
    </row>
    <row r="23" spans="1:5" x14ac:dyDescent="0.3">
      <c r="A23" t="s">
        <v>344</v>
      </c>
      <c r="B23" t="s">
        <v>470</v>
      </c>
      <c r="C23" t="s">
        <v>48</v>
      </c>
      <c r="D23" t="s">
        <v>0</v>
      </c>
      <c r="E23" t="s">
        <v>0</v>
      </c>
    </row>
    <row r="24" spans="1:5" x14ac:dyDescent="0.3">
      <c r="A24" t="s">
        <v>358</v>
      </c>
      <c r="B24" t="s">
        <v>43</v>
      </c>
      <c r="C24" t="s">
        <v>49</v>
      </c>
      <c r="D24" t="s">
        <v>549</v>
      </c>
      <c r="E24" t="s">
        <v>225</v>
      </c>
    </row>
    <row r="25" spans="1:5" x14ac:dyDescent="0.3">
      <c r="A25" t="s">
        <v>358</v>
      </c>
      <c r="B25" t="s">
        <v>470</v>
      </c>
      <c r="C25" t="s">
        <v>48</v>
      </c>
      <c r="D25" t="s">
        <v>0</v>
      </c>
      <c r="E25" t="s">
        <v>0</v>
      </c>
    </row>
    <row r="26" spans="1:5" x14ac:dyDescent="0.3">
      <c r="A26" t="s">
        <v>371</v>
      </c>
      <c r="B26" t="s">
        <v>43</v>
      </c>
      <c r="C26" t="s">
        <v>49</v>
      </c>
      <c r="D26" t="s">
        <v>549</v>
      </c>
      <c r="E26" t="s">
        <v>200</v>
      </c>
    </row>
    <row r="27" spans="1:5" x14ac:dyDescent="0.3">
      <c r="A27" t="s">
        <v>371</v>
      </c>
      <c r="B27" t="s">
        <v>470</v>
      </c>
      <c r="C27" t="s">
        <v>48</v>
      </c>
      <c r="D27" t="s">
        <v>0</v>
      </c>
      <c r="E27" t="s">
        <v>0</v>
      </c>
    </row>
    <row r="28" spans="1:5" x14ac:dyDescent="0.3">
      <c r="A28" t="s">
        <v>383</v>
      </c>
      <c r="B28" t="s">
        <v>43</v>
      </c>
      <c r="C28" t="s">
        <v>49</v>
      </c>
      <c r="D28" t="s">
        <v>549</v>
      </c>
      <c r="E28" t="s">
        <v>242</v>
      </c>
    </row>
    <row r="29" spans="1:5" x14ac:dyDescent="0.3">
      <c r="A29" t="s">
        <v>383</v>
      </c>
      <c r="B29" t="s">
        <v>470</v>
      </c>
      <c r="C29" t="s">
        <v>48</v>
      </c>
      <c r="D29" t="s">
        <v>0</v>
      </c>
      <c r="E29" t="s">
        <v>0</v>
      </c>
    </row>
    <row r="30" spans="1:5" x14ac:dyDescent="0.3">
      <c r="A30" t="s">
        <v>396</v>
      </c>
      <c r="B30" t="s">
        <v>470</v>
      </c>
      <c r="C30" t="s">
        <v>48</v>
      </c>
      <c r="D30" t="s">
        <v>0</v>
      </c>
      <c r="E30" t="s">
        <v>0</v>
      </c>
    </row>
    <row r="31" spans="1:5" x14ac:dyDescent="0.3">
      <c r="A31" t="s">
        <v>396</v>
      </c>
      <c r="B31" t="s">
        <v>43</v>
      </c>
      <c r="C31" t="s">
        <v>176</v>
      </c>
      <c r="D31" t="s">
        <v>548</v>
      </c>
      <c r="E31" t="s">
        <v>242</v>
      </c>
    </row>
    <row r="32" spans="1:5" x14ac:dyDescent="0.3">
      <c r="A32" t="s">
        <v>409</v>
      </c>
      <c r="B32" t="s">
        <v>43</v>
      </c>
      <c r="C32" t="s">
        <v>176</v>
      </c>
      <c r="D32" t="s">
        <v>46</v>
      </c>
      <c r="E32" t="s">
        <v>200</v>
      </c>
    </row>
    <row r="33" spans="1:5" x14ac:dyDescent="0.3">
      <c r="A33" t="s">
        <v>409</v>
      </c>
      <c r="B33" t="s">
        <v>470</v>
      </c>
      <c r="C33" t="s">
        <v>48</v>
      </c>
      <c r="D33" t="s">
        <v>0</v>
      </c>
      <c r="E33" t="s">
        <v>0</v>
      </c>
    </row>
    <row r="34" spans="1:5" x14ac:dyDescent="0.3">
      <c r="A34" t="s">
        <v>421</v>
      </c>
      <c r="B34" t="s">
        <v>43</v>
      </c>
      <c r="C34" t="s">
        <v>41</v>
      </c>
      <c r="D34" t="s">
        <v>46</v>
      </c>
      <c r="E34" t="s">
        <v>225</v>
      </c>
    </row>
    <row r="35" spans="1:5" x14ac:dyDescent="0.3">
      <c r="A35" t="s">
        <v>421</v>
      </c>
      <c r="B35" t="s">
        <v>470</v>
      </c>
      <c r="C35" t="s">
        <v>48</v>
      </c>
      <c r="D35" t="s">
        <v>0</v>
      </c>
      <c r="E35" t="s">
        <v>0</v>
      </c>
    </row>
    <row r="36" spans="1:5" x14ac:dyDescent="0.3">
      <c r="A36" t="s">
        <v>433</v>
      </c>
      <c r="B36" t="s">
        <v>43</v>
      </c>
      <c r="C36" t="s">
        <v>49</v>
      </c>
      <c r="D36" t="s">
        <v>549</v>
      </c>
      <c r="E36" t="s">
        <v>225</v>
      </c>
    </row>
    <row r="37" spans="1:5" x14ac:dyDescent="0.3">
      <c r="A37" t="s">
        <v>433</v>
      </c>
      <c r="B37" t="s">
        <v>470</v>
      </c>
      <c r="C37" t="s">
        <v>48</v>
      </c>
      <c r="D37" t="s">
        <v>0</v>
      </c>
      <c r="E37" t="s">
        <v>0</v>
      </c>
    </row>
    <row r="38" spans="1:5" x14ac:dyDescent="0.3">
      <c r="A38" t="s">
        <v>445</v>
      </c>
      <c r="B38" t="s">
        <v>43</v>
      </c>
      <c r="C38" t="s">
        <v>37</v>
      </c>
      <c r="D38" t="s">
        <v>549</v>
      </c>
      <c r="E38" t="s">
        <v>200</v>
      </c>
    </row>
    <row r="39" spans="1:5" x14ac:dyDescent="0.3">
      <c r="A39" t="s">
        <v>445</v>
      </c>
      <c r="B39" t="s">
        <v>470</v>
      </c>
      <c r="C39" t="s">
        <v>48</v>
      </c>
      <c r="D39" t="s">
        <v>0</v>
      </c>
      <c r="E39" t="s">
        <v>0</v>
      </c>
    </row>
    <row r="40" spans="1:5" x14ac:dyDescent="0.3">
      <c r="A40" t="s">
        <v>457</v>
      </c>
      <c r="B40" t="s">
        <v>43</v>
      </c>
      <c r="C40" t="s">
        <v>37</v>
      </c>
      <c r="D40" t="s">
        <v>549</v>
      </c>
      <c r="E40" t="s">
        <v>225</v>
      </c>
    </row>
    <row r="41" spans="1:5" x14ac:dyDescent="0.3">
      <c r="A41" t="s">
        <v>457</v>
      </c>
      <c r="B41" t="s">
        <v>470</v>
      </c>
      <c r="C41" t="s">
        <v>48</v>
      </c>
      <c r="D41" t="s">
        <v>0</v>
      </c>
      <c r="E41" t="s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18A2-06F9-4D05-8B3D-DCFDF0E71EDC}">
  <sheetPr codeName="Sheet5">
    <tabColor theme="9"/>
  </sheetPr>
  <dimension ref="A1:D21"/>
  <sheetViews>
    <sheetView topLeftCell="B1" workbookViewId="0">
      <selection activeCell="F19" sqref="F19"/>
    </sheetView>
  </sheetViews>
  <sheetFormatPr defaultRowHeight="14.4" x14ac:dyDescent="0.3"/>
  <cols>
    <col min="1" max="1" width="16.109375" bestFit="1" customWidth="1"/>
    <col min="2" max="2" width="13.109375" bestFit="1" customWidth="1"/>
    <col min="3" max="3" width="32" bestFit="1" customWidth="1"/>
    <col min="4" max="4" width="25.109375" bestFit="1" customWidth="1"/>
  </cols>
  <sheetData>
    <row r="1" spans="1:4" x14ac:dyDescent="0.3">
      <c r="A1" t="s">
        <v>1</v>
      </c>
      <c r="B1" t="s">
        <v>146</v>
      </c>
      <c r="C1" t="s">
        <v>147</v>
      </c>
      <c r="D1" t="s">
        <v>148</v>
      </c>
    </row>
    <row r="2" spans="1:4" x14ac:dyDescent="0.3">
      <c r="A2" t="s">
        <v>173</v>
      </c>
      <c r="B2" t="s">
        <v>471</v>
      </c>
      <c r="C2" t="s">
        <v>472</v>
      </c>
      <c r="D2" t="s">
        <v>0</v>
      </c>
    </row>
    <row r="3" spans="1:4" x14ac:dyDescent="0.3">
      <c r="A3" t="s">
        <v>203</v>
      </c>
      <c r="B3" t="s">
        <v>471</v>
      </c>
      <c r="C3" t="s">
        <v>472</v>
      </c>
      <c r="D3" t="s">
        <v>0</v>
      </c>
    </row>
    <row r="4" spans="1:4" x14ac:dyDescent="0.3">
      <c r="A4" t="s">
        <v>226</v>
      </c>
      <c r="B4" t="s">
        <v>471</v>
      </c>
      <c r="C4" t="s">
        <v>472</v>
      </c>
      <c r="D4" t="s">
        <v>0</v>
      </c>
    </row>
    <row r="5" spans="1:4" x14ac:dyDescent="0.3">
      <c r="A5" t="s">
        <v>243</v>
      </c>
      <c r="B5" t="s">
        <v>471</v>
      </c>
      <c r="C5" t="s">
        <v>472</v>
      </c>
      <c r="D5" t="s">
        <v>0</v>
      </c>
    </row>
    <row r="6" spans="1:4" x14ac:dyDescent="0.3">
      <c r="A6" t="s">
        <v>259</v>
      </c>
      <c r="B6" t="s">
        <v>471</v>
      </c>
      <c r="C6" t="s">
        <v>472</v>
      </c>
      <c r="D6" t="s">
        <v>0</v>
      </c>
    </row>
    <row r="7" spans="1:4" x14ac:dyDescent="0.3">
      <c r="A7" t="s">
        <v>272</v>
      </c>
      <c r="B7" t="s">
        <v>471</v>
      </c>
      <c r="C7" t="s">
        <v>472</v>
      </c>
      <c r="D7" t="s">
        <v>0</v>
      </c>
    </row>
    <row r="8" spans="1:4" x14ac:dyDescent="0.3">
      <c r="A8" t="s">
        <v>286</v>
      </c>
      <c r="B8" t="s">
        <v>471</v>
      </c>
      <c r="C8" t="s">
        <v>472</v>
      </c>
      <c r="D8" t="s">
        <v>0</v>
      </c>
    </row>
    <row r="9" spans="1:4" x14ac:dyDescent="0.3">
      <c r="A9" t="s">
        <v>301</v>
      </c>
      <c r="B9" t="s">
        <v>471</v>
      </c>
      <c r="C9" t="s">
        <v>472</v>
      </c>
      <c r="D9" t="s">
        <v>0</v>
      </c>
    </row>
    <row r="10" spans="1:4" x14ac:dyDescent="0.3">
      <c r="A10" t="s">
        <v>316</v>
      </c>
      <c r="B10" t="s">
        <v>471</v>
      </c>
      <c r="C10" t="s">
        <v>472</v>
      </c>
      <c r="D10" t="s">
        <v>0</v>
      </c>
    </row>
    <row r="11" spans="1:4" x14ac:dyDescent="0.3">
      <c r="A11" t="s">
        <v>329</v>
      </c>
      <c r="B11" t="s">
        <v>471</v>
      </c>
      <c r="C11" t="s">
        <v>472</v>
      </c>
      <c r="D11" t="s">
        <v>0</v>
      </c>
    </row>
    <row r="12" spans="1:4" x14ac:dyDescent="0.3">
      <c r="A12" t="s">
        <v>344</v>
      </c>
      <c r="B12" t="s">
        <v>471</v>
      </c>
      <c r="C12" t="s">
        <v>472</v>
      </c>
      <c r="D12" t="s">
        <v>0</v>
      </c>
    </row>
    <row r="13" spans="1:4" x14ac:dyDescent="0.3">
      <c r="A13" t="s">
        <v>358</v>
      </c>
      <c r="B13" t="s">
        <v>471</v>
      </c>
      <c r="C13" t="s">
        <v>472</v>
      </c>
      <c r="D13" t="s">
        <v>0</v>
      </c>
    </row>
    <row r="14" spans="1:4" x14ac:dyDescent="0.3">
      <c r="A14" t="s">
        <v>371</v>
      </c>
      <c r="B14" t="s">
        <v>471</v>
      </c>
      <c r="C14" t="s">
        <v>472</v>
      </c>
      <c r="D14" t="s">
        <v>0</v>
      </c>
    </row>
    <row r="15" spans="1:4" x14ac:dyDescent="0.3">
      <c r="A15" t="s">
        <v>383</v>
      </c>
      <c r="B15" t="s">
        <v>471</v>
      </c>
      <c r="C15" t="s">
        <v>472</v>
      </c>
      <c r="D15" t="s">
        <v>0</v>
      </c>
    </row>
    <row r="16" spans="1:4" x14ac:dyDescent="0.3">
      <c r="A16" t="s">
        <v>396</v>
      </c>
      <c r="B16" t="s">
        <v>471</v>
      </c>
      <c r="C16" t="s">
        <v>472</v>
      </c>
      <c r="D16" t="s">
        <v>0</v>
      </c>
    </row>
    <row r="17" spans="1:4" x14ac:dyDescent="0.3">
      <c r="A17" t="s">
        <v>409</v>
      </c>
      <c r="B17" t="s">
        <v>471</v>
      </c>
      <c r="C17" t="s">
        <v>472</v>
      </c>
      <c r="D17" t="s">
        <v>0</v>
      </c>
    </row>
    <row r="18" spans="1:4" x14ac:dyDescent="0.3">
      <c r="A18" t="s">
        <v>421</v>
      </c>
      <c r="B18" t="s">
        <v>471</v>
      </c>
      <c r="C18" t="s">
        <v>472</v>
      </c>
      <c r="D18" t="s">
        <v>0</v>
      </c>
    </row>
    <row r="19" spans="1:4" x14ac:dyDescent="0.3">
      <c r="A19" t="s">
        <v>433</v>
      </c>
      <c r="B19" t="s">
        <v>471</v>
      </c>
      <c r="C19" t="s">
        <v>472</v>
      </c>
      <c r="D19" t="s">
        <v>0</v>
      </c>
    </row>
    <row r="20" spans="1:4" x14ac:dyDescent="0.3">
      <c r="A20" t="s">
        <v>445</v>
      </c>
      <c r="B20" t="s">
        <v>471</v>
      </c>
      <c r="C20" t="s">
        <v>472</v>
      </c>
      <c r="D20" t="s">
        <v>0</v>
      </c>
    </row>
    <row r="21" spans="1:4" x14ac:dyDescent="0.3">
      <c r="A21" t="s">
        <v>457</v>
      </c>
      <c r="B21" t="s">
        <v>471</v>
      </c>
      <c r="C21" t="s">
        <v>472</v>
      </c>
      <c r="D21" t="s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0B18-455E-4747-869C-8F9885AFD674}">
  <sheetPr codeName="Sheet6">
    <tabColor theme="9"/>
  </sheetPr>
  <dimension ref="A1:C1"/>
  <sheetViews>
    <sheetView workbookViewId="0">
      <selection activeCell="F19" sqref="F19"/>
    </sheetView>
  </sheetViews>
  <sheetFormatPr defaultRowHeight="14.4" x14ac:dyDescent="0.3"/>
  <cols>
    <col min="1" max="1" width="16.109375" bestFit="1" customWidth="1"/>
    <col min="2" max="2" width="14.5546875" bestFit="1" customWidth="1"/>
    <col min="3" max="3" width="47.109375" bestFit="1" customWidth="1"/>
  </cols>
  <sheetData>
    <row r="1" spans="1:3" x14ac:dyDescent="0.3">
      <c r="A1" t="s">
        <v>1</v>
      </c>
      <c r="B1" t="s">
        <v>149</v>
      </c>
      <c r="C1" t="s">
        <v>150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57203-4CAF-4B2B-B953-C254B99A5CCB}">
  <sheetPr codeName="Sheet7">
    <tabColor theme="9"/>
  </sheetPr>
  <dimension ref="A1:B41"/>
  <sheetViews>
    <sheetView workbookViewId="0">
      <selection activeCell="F19" sqref="F19"/>
    </sheetView>
  </sheetViews>
  <sheetFormatPr defaultRowHeight="14.4" x14ac:dyDescent="0.3"/>
  <cols>
    <col min="1" max="1" width="16.109375" bestFit="1" customWidth="1"/>
    <col min="2" max="2" width="39.5546875" bestFit="1" customWidth="1"/>
  </cols>
  <sheetData>
    <row r="1" spans="1:2" x14ac:dyDescent="0.3">
      <c r="A1" t="s">
        <v>1</v>
      </c>
      <c r="B1" t="s">
        <v>169</v>
      </c>
    </row>
    <row r="2" spans="1:2" x14ac:dyDescent="0.3">
      <c r="A2" t="s">
        <v>173</v>
      </c>
      <c r="B2" t="s">
        <v>473</v>
      </c>
    </row>
    <row r="3" spans="1:2" x14ac:dyDescent="0.3">
      <c r="A3" t="s">
        <v>173</v>
      </c>
      <c r="B3" t="s">
        <v>474</v>
      </c>
    </row>
    <row r="4" spans="1:2" x14ac:dyDescent="0.3">
      <c r="A4" t="s">
        <v>203</v>
      </c>
      <c r="B4" t="s">
        <v>473</v>
      </c>
    </row>
    <row r="5" spans="1:2" x14ac:dyDescent="0.3">
      <c r="A5" t="s">
        <v>203</v>
      </c>
      <c r="B5" t="s">
        <v>474</v>
      </c>
    </row>
    <row r="6" spans="1:2" x14ac:dyDescent="0.3">
      <c r="A6" t="s">
        <v>226</v>
      </c>
      <c r="B6" t="s">
        <v>473</v>
      </c>
    </row>
    <row r="7" spans="1:2" x14ac:dyDescent="0.3">
      <c r="A7" t="s">
        <v>226</v>
      </c>
      <c r="B7" t="s">
        <v>474</v>
      </c>
    </row>
    <row r="8" spans="1:2" x14ac:dyDescent="0.3">
      <c r="A8" t="s">
        <v>243</v>
      </c>
      <c r="B8" t="s">
        <v>473</v>
      </c>
    </row>
    <row r="9" spans="1:2" x14ac:dyDescent="0.3">
      <c r="A9" t="s">
        <v>243</v>
      </c>
      <c r="B9" t="s">
        <v>474</v>
      </c>
    </row>
    <row r="10" spans="1:2" x14ac:dyDescent="0.3">
      <c r="A10" t="s">
        <v>259</v>
      </c>
      <c r="B10" t="s">
        <v>473</v>
      </c>
    </row>
    <row r="11" spans="1:2" x14ac:dyDescent="0.3">
      <c r="A11" t="s">
        <v>259</v>
      </c>
      <c r="B11" t="s">
        <v>474</v>
      </c>
    </row>
    <row r="12" spans="1:2" x14ac:dyDescent="0.3">
      <c r="A12" t="s">
        <v>272</v>
      </c>
      <c r="B12" t="s">
        <v>473</v>
      </c>
    </row>
    <row r="13" spans="1:2" x14ac:dyDescent="0.3">
      <c r="A13" t="s">
        <v>272</v>
      </c>
      <c r="B13" t="s">
        <v>474</v>
      </c>
    </row>
    <row r="14" spans="1:2" x14ac:dyDescent="0.3">
      <c r="A14" t="s">
        <v>286</v>
      </c>
      <c r="B14" t="s">
        <v>473</v>
      </c>
    </row>
    <row r="15" spans="1:2" x14ac:dyDescent="0.3">
      <c r="A15" t="s">
        <v>286</v>
      </c>
      <c r="B15" t="s">
        <v>474</v>
      </c>
    </row>
    <row r="16" spans="1:2" x14ac:dyDescent="0.3">
      <c r="A16" t="s">
        <v>301</v>
      </c>
      <c r="B16" t="s">
        <v>473</v>
      </c>
    </row>
    <row r="17" spans="1:2" x14ac:dyDescent="0.3">
      <c r="A17" t="s">
        <v>301</v>
      </c>
      <c r="B17" t="s">
        <v>474</v>
      </c>
    </row>
    <row r="18" spans="1:2" x14ac:dyDescent="0.3">
      <c r="A18" t="s">
        <v>316</v>
      </c>
      <c r="B18" t="s">
        <v>473</v>
      </c>
    </row>
    <row r="19" spans="1:2" x14ac:dyDescent="0.3">
      <c r="A19" t="s">
        <v>316</v>
      </c>
      <c r="B19" t="s">
        <v>474</v>
      </c>
    </row>
    <row r="20" spans="1:2" x14ac:dyDescent="0.3">
      <c r="A20" t="s">
        <v>329</v>
      </c>
      <c r="B20" t="s">
        <v>473</v>
      </c>
    </row>
    <row r="21" spans="1:2" x14ac:dyDescent="0.3">
      <c r="A21" t="s">
        <v>329</v>
      </c>
      <c r="B21" t="s">
        <v>474</v>
      </c>
    </row>
    <row r="22" spans="1:2" x14ac:dyDescent="0.3">
      <c r="A22" t="s">
        <v>344</v>
      </c>
      <c r="B22" t="s">
        <v>473</v>
      </c>
    </row>
    <row r="23" spans="1:2" x14ac:dyDescent="0.3">
      <c r="A23" t="s">
        <v>344</v>
      </c>
      <c r="B23" t="s">
        <v>474</v>
      </c>
    </row>
    <row r="24" spans="1:2" x14ac:dyDescent="0.3">
      <c r="A24" t="s">
        <v>358</v>
      </c>
      <c r="B24" t="s">
        <v>473</v>
      </c>
    </row>
    <row r="25" spans="1:2" x14ac:dyDescent="0.3">
      <c r="A25" t="s">
        <v>358</v>
      </c>
      <c r="B25" t="s">
        <v>474</v>
      </c>
    </row>
    <row r="26" spans="1:2" x14ac:dyDescent="0.3">
      <c r="A26" t="s">
        <v>371</v>
      </c>
      <c r="B26" t="s">
        <v>473</v>
      </c>
    </row>
    <row r="27" spans="1:2" x14ac:dyDescent="0.3">
      <c r="A27" t="s">
        <v>371</v>
      </c>
      <c r="B27" t="s">
        <v>474</v>
      </c>
    </row>
    <row r="28" spans="1:2" x14ac:dyDescent="0.3">
      <c r="A28" t="s">
        <v>383</v>
      </c>
      <c r="B28" t="s">
        <v>473</v>
      </c>
    </row>
    <row r="29" spans="1:2" x14ac:dyDescent="0.3">
      <c r="A29" t="s">
        <v>383</v>
      </c>
      <c r="B29" t="s">
        <v>474</v>
      </c>
    </row>
    <row r="30" spans="1:2" x14ac:dyDescent="0.3">
      <c r="A30" t="s">
        <v>396</v>
      </c>
      <c r="B30" t="s">
        <v>473</v>
      </c>
    </row>
    <row r="31" spans="1:2" x14ac:dyDescent="0.3">
      <c r="A31" t="s">
        <v>396</v>
      </c>
      <c r="B31" t="s">
        <v>474</v>
      </c>
    </row>
    <row r="32" spans="1:2" x14ac:dyDescent="0.3">
      <c r="A32" t="s">
        <v>409</v>
      </c>
      <c r="B32" t="s">
        <v>473</v>
      </c>
    </row>
    <row r="33" spans="1:2" x14ac:dyDescent="0.3">
      <c r="A33" t="s">
        <v>409</v>
      </c>
      <c r="B33" t="s">
        <v>474</v>
      </c>
    </row>
    <row r="34" spans="1:2" x14ac:dyDescent="0.3">
      <c r="A34" t="s">
        <v>421</v>
      </c>
      <c r="B34" t="s">
        <v>473</v>
      </c>
    </row>
    <row r="35" spans="1:2" x14ac:dyDescent="0.3">
      <c r="A35" t="s">
        <v>421</v>
      </c>
      <c r="B35" t="s">
        <v>474</v>
      </c>
    </row>
    <row r="36" spans="1:2" x14ac:dyDescent="0.3">
      <c r="A36" t="s">
        <v>433</v>
      </c>
      <c r="B36" t="s">
        <v>473</v>
      </c>
    </row>
    <row r="37" spans="1:2" x14ac:dyDescent="0.3">
      <c r="A37" t="s">
        <v>433</v>
      </c>
      <c r="B37" t="s">
        <v>474</v>
      </c>
    </row>
    <row r="38" spans="1:2" x14ac:dyDescent="0.3">
      <c r="A38" t="s">
        <v>445</v>
      </c>
      <c r="B38" t="s">
        <v>473</v>
      </c>
    </row>
    <row r="39" spans="1:2" x14ac:dyDescent="0.3">
      <c r="A39" t="s">
        <v>445</v>
      </c>
      <c r="B39" t="s">
        <v>474</v>
      </c>
    </row>
    <row r="40" spans="1:2" x14ac:dyDescent="0.3">
      <c r="A40" t="s">
        <v>457</v>
      </c>
      <c r="B40" t="s">
        <v>473</v>
      </c>
    </row>
    <row r="41" spans="1:2" x14ac:dyDescent="0.3">
      <c r="A41" t="s">
        <v>457</v>
      </c>
      <c r="B41" t="s">
        <v>474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27F3-7267-4732-A7DE-80D27A5E5E80}">
  <sheetPr codeName="Sheet8">
    <tabColor theme="9"/>
  </sheetPr>
  <dimension ref="A1:K21"/>
  <sheetViews>
    <sheetView workbookViewId="0">
      <selection activeCell="F19" sqref="F19"/>
    </sheetView>
  </sheetViews>
  <sheetFormatPr defaultRowHeight="14.4" x14ac:dyDescent="0.3"/>
  <cols>
    <col min="1" max="1" width="16.109375" bestFit="1" customWidth="1"/>
    <col min="2" max="2" width="13.77734375" bestFit="1" customWidth="1"/>
    <col min="3" max="4" width="20.5546875" bestFit="1" customWidth="1"/>
    <col min="5" max="5" width="14.88671875" bestFit="1" customWidth="1"/>
    <col min="6" max="6" width="30.33203125" bestFit="1" customWidth="1"/>
    <col min="7" max="7" width="22.33203125" bestFit="1" customWidth="1"/>
    <col min="8" max="8" width="16" bestFit="1" customWidth="1"/>
    <col min="9" max="9" width="21.109375" bestFit="1" customWidth="1"/>
    <col min="10" max="10" width="22.5546875" bestFit="1" customWidth="1"/>
    <col min="11" max="11" width="9.77734375" bestFit="1" customWidth="1"/>
  </cols>
  <sheetData>
    <row r="1" spans="1:11" x14ac:dyDescent="0.3">
      <c r="A1" t="s">
        <v>1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</row>
    <row r="2" spans="1:11" x14ac:dyDescent="0.3">
      <c r="A2" t="s">
        <v>173</v>
      </c>
      <c r="B2" t="s">
        <v>39</v>
      </c>
      <c r="C2" t="s">
        <v>163</v>
      </c>
      <c r="D2" t="s">
        <v>475</v>
      </c>
      <c r="E2" t="s">
        <v>476</v>
      </c>
      <c r="F2" t="s">
        <v>477</v>
      </c>
      <c r="G2" t="s">
        <v>478</v>
      </c>
      <c r="H2" t="s">
        <v>479</v>
      </c>
      <c r="I2" t="s">
        <v>480</v>
      </c>
      <c r="J2" t="s">
        <v>481</v>
      </c>
      <c r="K2" t="s">
        <v>482</v>
      </c>
    </row>
    <row r="3" spans="1:11" x14ac:dyDescent="0.3">
      <c r="A3" t="s">
        <v>203</v>
      </c>
      <c r="B3" t="s">
        <v>39</v>
      </c>
      <c r="C3" t="s">
        <v>168</v>
      </c>
      <c r="D3" t="s">
        <v>483</v>
      </c>
      <c r="E3" t="s">
        <v>484</v>
      </c>
      <c r="F3" t="s">
        <v>168</v>
      </c>
      <c r="G3" t="s">
        <v>485</v>
      </c>
      <c r="H3" t="s">
        <v>486</v>
      </c>
      <c r="I3" t="s">
        <v>487</v>
      </c>
      <c r="J3" t="s">
        <v>488</v>
      </c>
      <c r="K3" t="s">
        <v>489</v>
      </c>
    </row>
    <row r="4" spans="1:11" x14ac:dyDescent="0.3">
      <c r="A4" t="s">
        <v>226</v>
      </c>
      <c r="B4" t="s">
        <v>39</v>
      </c>
      <c r="C4" t="s">
        <v>490</v>
      </c>
      <c r="D4" t="s">
        <v>491</v>
      </c>
      <c r="E4" t="s">
        <v>492</v>
      </c>
      <c r="F4" t="s">
        <v>493</v>
      </c>
      <c r="G4" t="s">
        <v>494</v>
      </c>
      <c r="H4" t="s">
        <v>495</v>
      </c>
      <c r="I4" t="s">
        <v>480</v>
      </c>
      <c r="J4" t="s">
        <v>496</v>
      </c>
      <c r="K4" t="s">
        <v>489</v>
      </c>
    </row>
    <row r="5" spans="1:11" x14ac:dyDescent="0.3">
      <c r="A5" t="s">
        <v>243</v>
      </c>
      <c r="B5" t="s">
        <v>39</v>
      </c>
      <c r="C5" t="s">
        <v>166</v>
      </c>
      <c r="D5" t="s">
        <v>497</v>
      </c>
      <c r="E5" t="s">
        <v>498</v>
      </c>
      <c r="F5" t="s">
        <v>493</v>
      </c>
      <c r="G5" t="s">
        <v>485</v>
      </c>
      <c r="H5" t="s">
        <v>499</v>
      </c>
      <c r="I5" t="s">
        <v>480</v>
      </c>
      <c r="J5" t="s">
        <v>500</v>
      </c>
      <c r="K5" t="s">
        <v>482</v>
      </c>
    </row>
    <row r="6" spans="1:11" x14ac:dyDescent="0.3">
      <c r="A6" t="s">
        <v>259</v>
      </c>
      <c r="B6" t="s">
        <v>39</v>
      </c>
      <c r="C6" t="s">
        <v>161</v>
      </c>
      <c r="D6" t="s">
        <v>501</v>
      </c>
      <c r="E6" t="s">
        <v>502</v>
      </c>
      <c r="F6" t="s">
        <v>165</v>
      </c>
      <c r="G6" t="s">
        <v>503</v>
      </c>
      <c r="H6" t="s">
        <v>479</v>
      </c>
      <c r="I6" t="s">
        <v>487</v>
      </c>
      <c r="J6" t="s">
        <v>504</v>
      </c>
      <c r="K6" t="s">
        <v>505</v>
      </c>
    </row>
    <row r="7" spans="1:11" x14ac:dyDescent="0.3">
      <c r="A7" t="s">
        <v>272</v>
      </c>
      <c r="B7" t="s">
        <v>39</v>
      </c>
      <c r="C7" t="s">
        <v>161</v>
      </c>
      <c r="D7" t="s">
        <v>475</v>
      </c>
      <c r="E7" t="s">
        <v>506</v>
      </c>
      <c r="F7" t="s">
        <v>507</v>
      </c>
      <c r="G7" t="s">
        <v>483</v>
      </c>
      <c r="H7" t="s">
        <v>499</v>
      </c>
      <c r="I7" t="s">
        <v>495</v>
      </c>
      <c r="J7" t="s">
        <v>508</v>
      </c>
      <c r="K7" t="s">
        <v>489</v>
      </c>
    </row>
    <row r="8" spans="1:11" x14ac:dyDescent="0.3">
      <c r="A8" t="s">
        <v>286</v>
      </c>
      <c r="B8" t="s">
        <v>39</v>
      </c>
      <c r="C8" t="s">
        <v>509</v>
      </c>
      <c r="D8" t="s">
        <v>506</v>
      </c>
      <c r="E8" t="s">
        <v>476</v>
      </c>
      <c r="F8" t="s">
        <v>510</v>
      </c>
      <c r="G8" t="s">
        <v>511</v>
      </c>
      <c r="H8" t="s">
        <v>512</v>
      </c>
      <c r="I8" t="s">
        <v>487</v>
      </c>
      <c r="J8" t="s">
        <v>513</v>
      </c>
      <c r="K8" t="s">
        <v>482</v>
      </c>
    </row>
    <row r="9" spans="1:11" x14ac:dyDescent="0.3">
      <c r="A9" t="s">
        <v>301</v>
      </c>
      <c r="B9" t="s">
        <v>39</v>
      </c>
      <c r="C9" t="s">
        <v>514</v>
      </c>
      <c r="D9" t="s">
        <v>483</v>
      </c>
      <c r="E9" t="s">
        <v>494</v>
      </c>
      <c r="F9" t="s">
        <v>154</v>
      </c>
      <c r="G9" t="s">
        <v>494</v>
      </c>
      <c r="H9" t="s">
        <v>512</v>
      </c>
      <c r="I9" t="s">
        <v>480</v>
      </c>
      <c r="J9" t="s">
        <v>515</v>
      </c>
      <c r="K9" t="s">
        <v>482</v>
      </c>
    </row>
    <row r="10" spans="1:11" x14ac:dyDescent="0.3">
      <c r="A10" t="s">
        <v>316</v>
      </c>
      <c r="B10" t="s">
        <v>39</v>
      </c>
      <c r="C10" t="s">
        <v>161</v>
      </c>
      <c r="D10" t="s">
        <v>475</v>
      </c>
      <c r="E10" t="s">
        <v>516</v>
      </c>
      <c r="F10" t="s">
        <v>157</v>
      </c>
      <c r="G10" t="s">
        <v>503</v>
      </c>
      <c r="H10" t="s">
        <v>517</v>
      </c>
      <c r="I10" t="s">
        <v>480</v>
      </c>
      <c r="J10" t="s">
        <v>518</v>
      </c>
      <c r="K10" t="s">
        <v>505</v>
      </c>
    </row>
    <row r="11" spans="1:11" x14ac:dyDescent="0.3">
      <c r="A11" t="s">
        <v>329</v>
      </c>
      <c r="B11" t="s">
        <v>39</v>
      </c>
      <c r="C11" t="s">
        <v>157</v>
      </c>
      <c r="D11" t="s">
        <v>506</v>
      </c>
      <c r="E11" t="s">
        <v>483</v>
      </c>
      <c r="F11" t="s">
        <v>509</v>
      </c>
      <c r="G11" t="s">
        <v>519</v>
      </c>
      <c r="H11" t="s">
        <v>495</v>
      </c>
      <c r="I11" t="s">
        <v>480</v>
      </c>
      <c r="J11" t="s">
        <v>520</v>
      </c>
      <c r="K11" t="s">
        <v>489</v>
      </c>
    </row>
    <row r="12" spans="1:11" x14ac:dyDescent="0.3">
      <c r="A12" t="s">
        <v>344</v>
      </c>
      <c r="B12" t="s">
        <v>39</v>
      </c>
      <c r="C12" t="s">
        <v>153</v>
      </c>
      <c r="D12" t="s">
        <v>521</v>
      </c>
      <c r="E12" t="s">
        <v>516</v>
      </c>
      <c r="F12" t="s">
        <v>167</v>
      </c>
      <c r="G12" t="s">
        <v>516</v>
      </c>
      <c r="H12" t="s">
        <v>479</v>
      </c>
      <c r="I12" t="s">
        <v>487</v>
      </c>
      <c r="J12" t="s">
        <v>522</v>
      </c>
      <c r="K12" t="s">
        <v>482</v>
      </c>
    </row>
    <row r="13" spans="1:11" x14ac:dyDescent="0.3">
      <c r="A13" t="s">
        <v>358</v>
      </c>
      <c r="B13" t="s">
        <v>39</v>
      </c>
      <c r="C13" t="s">
        <v>523</v>
      </c>
      <c r="D13" t="s">
        <v>524</v>
      </c>
      <c r="E13" t="s">
        <v>525</v>
      </c>
      <c r="F13" t="s">
        <v>526</v>
      </c>
      <c r="G13" t="s">
        <v>506</v>
      </c>
      <c r="H13" t="s">
        <v>499</v>
      </c>
      <c r="I13" t="s">
        <v>487</v>
      </c>
      <c r="J13" t="s">
        <v>527</v>
      </c>
      <c r="K13" t="s">
        <v>489</v>
      </c>
    </row>
    <row r="14" spans="1:11" x14ac:dyDescent="0.3">
      <c r="A14" t="s">
        <v>371</v>
      </c>
      <c r="B14" t="s">
        <v>39</v>
      </c>
      <c r="C14" t="s">
        <v>162</v>
      </c>
      <c r="D14" t="s">
        <v>528</v>
      </c>
      <c r="E14" t="s">
        <v>503</v>
      </c>
      <c r="F14" t="s">
        <v>529</v>
      </c>
      <c r="G14" t="s">
        <v>492</v>
      </c>
      <c r="H14" t="s">
        <v>530</v>
      </c>
      <c r="I14" t="s">
        <v>495</v>
      </c>
      <c r="J14" t="s">
        <v>531</v>
      </c>
      <c r="K14" t="s">
        <v>489</v>
      </c>
    </row>
    <row r="15" spans="1:11" x14ac:dyDescent="0.3">
      <c r="A15" t="s">
        <v>383</v>
      </c>
      <c r="B15" t="s">
        <v>39</v>
      </c>
      <c r="C15" t="s">
        <v>158</v>
      </c>
      <c r="D15" t="s">
        <v>532</v>
      </c>
      <c r="E15" t="s">
        <v>494</v>
      </c>
      <c r="F15" t="s">
        <v>158</v>
      </c>
      <c r="G15" t="s">
        <v>494</v>
      </c>
      <c r="H15" t="s">
        <v>533</v>
      </c>
      <c r="I15" t="s">
        <v>487</v>
      </c>
      <c r="J15" t="s">
        <v>534</v>
      </c>
      <c r="K15" t="s">
        <v>489</v>
      </c>
    </row>
    <row r="16" spans="1:11" x14ac:dyDescent="0.3">
      <c r="A16" t="s">
        <v>396</v>
      </c>
      <c r="B16" t="s">
        <v>39</v>
      </c>
      <c r="C16" t="s">
        <v>158</v>
      </c>
      <c r="D16" t="s">
        <v>491</v>
      </c>
      <c r="E16" t="s">
        <v>519</v>
      </c>
      <c r="F16" t="s">
        <v>529</v>
      </c>
      <c r="G16" t="s">
        <v>503</v>
      </c>
      <c r="H16" t="s">
        <v>535</v>
      </c>
      <c r="I16" t="s">
        <v>495</v>
      </c>
      <c r="J16" t="s">
        <v>536</v>
      </c>
      <c r="K16" t="s">
        <v>482</v>
      </c>
    </row>
    <row r="17" spans="1:11" x14ac:dyDescent="0.3">
      <c r="A17" t="s">
        <v>409</v>
      </c>
      <c r="B17" t="s">
        <v>39</v>
      </c>
      <c r="C17" t="s">
        <v>155</v>
      </c>
      <c r="D17" t="s">
        <v>524</v>
      </c>
      <c r="E17" t="s">
        <v>478</v>
      </c>
      <c r="F17" t="s">
        <v>537</v>
      </c>
      <c r="G17" t="s">
        <v>492</v>
      </c>
      <c r="H17" t="s">
        <v>486</v>
      </c>
      <c r="I17" t="s">
        <v>487</v>
      </c>
      <c r="J17" t="s">
        <v>538</v>
      </c>
      <c r="K17" t="s">
        <v>489</v>
      </c>
    </row>
    <row r="18" spans="1:11" x14ac:dyDescent="0.3">
      <c r="A18" t="s">
        <v>421</v>
      </c>
      <c r="B18" t="s">
        <v>39</v>
      </c>
      <c r="C18" t="s">
        <v>164</v>
      </c>
      <c r="D18" t="s">
        <v>524</v>
      </c>
      <c r="E18" t="s">
        <v>502</v>
      </c>
      <c r="F18" t="s">
        <v>539</v>
      </c>
      <c r="G18" t="s">
        <v>485</v>
      </c>
      <c r="H18" t="s">
        <v>499</v>
      </c>
      <c r="I18" t="s">
        <v>480</v>
      </c>
      <c r="J18" t="s">
        <v>540</v>
      </c>
      <c r="K18" t="s">
        <v>482</v>
      </c>
    </row>
    <row r="19" spans="1:11" x14ac:dyDescent="0.3">
      <c r="A19" t="s">
        <v>433</v>
      </c>
      <c r="B19" t="s">
        <v>39</v>
      </c>
      <c r="C19" t="s">
        <v>161</v>
      </c>
      <c r="D19" t="s">
        <v>516</v>
      </c>
      <c r="E19" t="s">
        <v>519</v>
      </c>
      <c r="F19" t="s">
        <v>156</v>
      </c>
      <c r="G19" t="s">
        <v>541</v>
      </c>
      <c r="H19" t="s">
        <v>533</v>
      </c>
      <c r="I19" t="s">
        <v>487</v>
      </c>
      <c r="J19" t="s">
        <v>542</v>
      </c>
      <c r="K19" t="s">
        <v>505</v>
      </c>
    </row>
    <row r="20" spans="1:11" x14ac:dyDescent="0.3">
      <c r="A20" t="s">
        <v>445</v>
      </c>
      <c r="B20" t="s">
        <v>39</v>
      </c>
      <c r="C20" t="s">
        <v>160</v>
      </c>
      <c r="D20" t="s">
        <v>502</v>
      </c>
      <c r="E20" t="s">
        <v>519</v>
      </c>
      <c r="F20" t="s">
        <v>543</v>
      </c>
      <c r="G20" t="s">
        <v>506</v>
      </c>
      <c r="H20" t="s">
        <v>517</v>
      </c>
      <c r="I20" t="s">
        <v>495</v>
      </c>
      <c r="J20" t="s">
        <v>544</v>
      </c>
      <c r="K20" t="s">
        <v>505</v>
      </c>
    </row>
    <row r="21" spans="1:11" x14ac:dyDescent="0.3">
      <c r="A21" t="s">
        <v>457</v>
      </c>
      <c r="B21" t="s">
        <v>39</v>
      </c>
      <c r="C21" t="s">
        <v>159</v>
      </c>
      <c r="D21" t="s">
        <v>545</v>
      </c>
      <c r="E21" t="s">
        <v>519</v>
      </c>
      <c r="F21" t="s">
        <v>509</v>
      </c>
      <c r="G21" t="s">
        <v>546</v>
      </c>
      <c r="H21" t="s">
        <v>499</v>
      </c>
      <c r="I21" t="s">
        <v>487</v>
      </c>
      <c r="J21" t="s">
        <v>547</v>
      </c>
      <c r="K21" t="s">
        <v>489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B756FD-4849-40A1-B879-FE30B8A525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READ ME</vt:lpstr>
      <vt:lpstr>Overview</vt:lpstr>
      <vt:lpstr>Merge To Outlook</vt:lpstr>
      <vt:lpstr>Raw Data</vt:lpstr>
      <vt:lpstr>CCA</vt:lpstr>
      <vt:lpstr>VIA</vt:lpstr>
      <vt:lpstr>MOE SB Award</vt:lpstr>
      <vt:lpstr>Non SB</vt:lpstr>
      <vt:lpstr>NAPFA</vt:lpstr>
      <vt:lpstr>DSA</vt:lpstr>
      <vt:lpstr>DSA_HEADER</vt:lpstr>
      <vt:lpstr>DSA_ID</vt:lpstr>
      <vt:lpstr>Foundation</vt:lpstr>
      <vt:lpstr>ID</vt:lpstr>
      <vt:lpstr>Overview!Print_Area</vt:lpstr>
      <vt:lpstr>Standard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Koo Tiannuo</dc:creator>
  <cp:lastModifiedBy>Koo TIANNUO (SCHOOLS)</cp:lastModifiedBy>
  <dcterms:created xsi:type="dcterms:W3CDTF">2015-06-05T18:17:20Z</dcterms:created>
  <dcterms:modified xsi:type="dcterms:W3CDTF">2025-07-07T13:19:48Z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a29ceaac-9a91-4815-b477-444c899ed32a_Enabled">
    <vt:lpwstr>true</vt:lpwstr>
  </property>
  <property fmtid="{D5CDD505-2E9C-101B-9397-08002B2CF9AE}" pid="5" name="MSIP_Label_a29ceaac-9a91-4815-b477-444c899ed32a_SetDate">
    <vt:lpwstr>2025-07-01T03:03:44Z</vt:lpwstr>
  </property>
  <property fmtid="{D5CDD505-2E9C-101B-9397-08002B2CF9AE}" pid="6" name="MSIP_Label_a29ceaac-9a91-4815-b477-444c899ed32a_Method">
    <vt:lpwstr>Privileged</vt:lpwstr>
  </property>
  <property fmtid="{D5CDD505-2E9C-101B-9397-08002B2CF9AE}" pid="7" name="MSIP_Label_a29ceaac-9a91-4815-b477-444c899ed32a_Name">
    <vt:lpwstr>SENSITIVE NORMAL_0</vt:lpwstr>
  </property>
  <property fmtid="{D5CDD505-2E9C-101B-9397-08002B2CF9AE}" pid="8" name="MSIP_Label_a29ceaac-9a91-4815-b477-444c899ed32a_SiteId">
    <vt:lpwstr>6590cdd4-8337-4198-bacc-47645c4a4d4d</vt:lpwstr>
  </property>
  <property fmtid="{D5CDD505-2E9C-101B-9397-08002B2CF9AE}" pid="9" name="MSIP_Label_a29ceaac-9a91-4815-b477-444c899ed32a_ActionId">
    <vt:lpwstr>396750bd-51e1-4058-97e2-5f0433fe9bc0</vt:lpwstr>
  </property>
  <property fmtid="{D5CDD505-2E9C-101B-9397-08002B2CF9AE}" pid="10" name="MSIP_Label_a29ceaac-9a91-4815-b477-444c899ed32a_ContentBits">
    <vt:lpwstr>0</vt:lpwstr>
  </property>
  <property fmtid="{D5CDD505-2E9C-101B-9397-08002B2CF9AE}" pid="11" name="MSIP_Label_a29ceaac-9a91-4815-b477-444c899ed32a_Tag">
    <vt:lpwstr>10, 0, 1, 1</vt:lpwstr>
  </property>
</Properties>
</file>